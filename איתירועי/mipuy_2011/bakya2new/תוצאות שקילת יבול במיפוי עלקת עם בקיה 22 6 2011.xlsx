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20" windowWidth="15480" windowHeight="11640"/>
  </bookViews>
  <sheets>
    <sheet name="with monitor" sheetId="4" r:id="rId1"/>
    <sheet name="Without monitor" sheetId="5" r:id="rId2"/>
    <sheet name="גיליון1" sheetId="1" r:id="rId3"/>
    <sheet name="גיליון2" sheetId="2" r:id="rId4"/>
    <sheet name="גיליון3" sheetId="3" r:id="rId5"/>
  </sheets>
  <calcPr calcId="125725"/>
</workbook>
</file>

<file path=xl/calcChain.xml><?xml version="1.0" encoding="utf-8"?>
<calcChain xmlns="http://schemas.openxmlformats.org/spreadsheetml/2006/main">
  <c r="I78" i="1"/>
  <c r="C78"/>
  <c r="I77"/>
  <c r="C77"/>
  <c r="I76"/>
  <c r="I75"/>
  <c r="I74"/>
  <c r="I70"/>
  <c r="I69"/>
  <c r="I68"/>
  <c r="I67"/>
  <c r="C67"/>
  <c r="I66"/>
  <c r="I61"/>
  <c r="L61" s="1"/>
  <c r="J61"/>
  <c r="K61"/>
  <c r="I62"/>
  <c r="L62" s="1"/>
  <c r="J62"/>
  <c r="K62"/>
  <c r="I54"/>
  <c r="L54"/>
  <c r="J54"/>
  <c r="K54"/>
  <c r="C54"/>
  <c r="I60"/>
  <c r="C60"/>
  <c r="I59"/>
  <c r="I58"/>
  <c r="I53"/>
  <c r="C53"/>
  <c r="I51"/>
  <c r="I50"/>
  <c r="C50"/>
  <c r="K78"/>
  <c r="K77"/>
  <c r="J77"/>
  <c r="K76"/>
  <c r="J76"/>
  <c r="K75"/>
  <c r="J75"/>
  <c r="K74"/>
  <c r="J74"/>
  <c r="K70"/>
  <c r="J70"/>
  <c r="K69"/>
  <c r="J69"/>
  <c r="L69"/>
  <c r="K68"/>
  <c r="J68"/>
  <c r="K67"/>
  <c r="J67"/>
  <c r="K66"/>
  <c r="K72" s="1"/>
  <c r="K73" s="1"/>
  <c r="J66"/>
  <c r="K60"/>
  <c r="J60"/>
  <c r="K59"/>
  <c r="J59"/>
  <c r="K58"/>
  <c r="J58"/>
  <c r="K53"/>
  <c r="J53"/>
  <c r="K52"/>
  <c r="J52"/>
  <c r="I52"/>
  <c r="K51"/>
  <c r="K50"/>
  <c r="J50"/>
  <c r="F47"/>
  <c r="I39"/>
  <c r="L39" s="1"/>
  <c r="I38"/>
  <c r="K41"/>
  <c r="J41"/>
  <c r="I41"/>
  <c r="L41" s="1"/>
  <c r="K40"/>
  <c r="J40"/>
  <c r="I40"/>
  <c r="L40" s="1"/>
  <c r="K39"/>
  <c r="J39"/>
  <c r="K38"/>
  <c r="J38"/>
  <c r="L38"/>
  <c r="K37"/>
  <c r="K43" s="1"/>
  <c r="K44" s="1"/>
  <c r="J37"/>
  <c r="J43" s="1"/>
  <c r="J44" s="1"/>
  <c r="I37"/>
  <c r="I43" s="1"/>
  <c r="I44" s="1"/>
  <c r="C41"/>
  <c r="C40"/>
  <c r="C39"/>
  <c r="C38"/>
  <c r="C37"/>
  <c r="I33"/>
  <c r="L33" s="1"/>
  <c r="I31"/>
  <c r="L31" s="1"/>
  <c r="I29"/>
  <c r="L29" s="1"/>
  <c r="K33"/>
  <c r="J33"/>
  <c r="L32"/>
  <c r="K32"/>
  <c r="J32"/>
  <c r="I32"/>
  <c r="K31"/>
  <c r="J31"/>
  <c r="L30"/>
  <c r="K30"/>
  <c r="J30"/>
  <c r="I30"/>
  <c r="K29"/>
  <c r="K35" s="1"/>
  <c r="K36" s="1"/>
  <c r="J29"/>
  <c r="J35" s="1"/>
  <c r="J36" s="1"/>
  <c r="I35"/>
  <c r="I36" s="1"/>
  <c r="C33"/>
  <c r="C32"/>
  <c r="C31"/>
  <c r="C30"/>
  <c r="I25"/>
  <c r="L25" s="1"/>
  <c r="I24"/>
  <c r="I23"/>
  <c r="L23" s="1"/>
  <c r="I21"/>
  <c r="C29"/>
  <c r="K25"/>
  <c r="J25"/>
  <c r="K24"/>
  <c r="J24"/>
  <c r="L24"/>
  <c r="K23"/>
  <c r="J23"/>
  <c r="K22"/>
  <c r="J22"/>
  <c r="I22"/>
  <c r="L22" s="1"/>
  <c r="K21"/>
  <c r="K27" s="1"/>
  <c r="K28" s="1"/>
  <c r="J21"/>
  <c r="J27" s="1"/>
  <c r="J28" s="1"/>
  <c r="I27"/>
  <c r="I28" s="1"/>
  <c r="C25"/>
  <c r="C24"/>
  <c r="C23"/>
  <c r="C22"/>
  <c r="C21"/>
  <c r="J18"/>
  <c r="K18"/>
  <c r="L18"/>
  <c r="J19"/>
  <c r="J20" s="1"/>
  <c r="K19"/>
  <c r="L19"/>
  <c r="L20" s="1"/>
  <c r="K20"/>
  <c r="I20"/>
  <c r="I19"/>
  <c r="I18"/>
  <c r="I17"/>
  <c r="L17" s="1"/>
  <c r="I16"/>
  <c r="I15"/>
  <c r="L15" s="1"/>
  <c r="I14"/>
  <c r="L14" s="1"/>
  <c r="I13"/>
  <c r="J14"/>
  <c r="K14"/>
  <c r="J15"/>
  <c r="K15"/>
  <c r="L16"/>
  <c r="J16"/>
  <c r="K16"/>
  <c r="J17"/>
  <c r="K17"/>
  <c r="K13"/>
  <c r="J13"/>
  <c r="C17"/>
  <c r="C15"/>
  <c r="C14"/>
  <c r="C13"/>
  <c r="F10"/>
  <c r="L78" l="1"/>
  <c r="K80"/>
  <c r="K81" s="1"/>
  <c r="L77"/>
  <c r="L76"/>
  <c r="J80"/>
  <c r="J81" s="1"/>
  <c r="L75"/>
  <c r="L70"/>
  <c r="L68"/>
  <c r="J72"/>
  <c r="J73" s="1"/>
  <c r="L67"/>
  <c r="K64"/>
  <c r="K65" s="1"/>
  <c r="J64"/>
  <c r="J65" s="1"/>
  <c r="K56"/>
  <c r="K57" s="1"/>
  <c r="L60"/>
  <c r="L59"/>
  <c r="L53"/>
  <c r="L52"/>
  <c r="L51"/>
  <c r="L56" s="1"/>
  <c r="L57" s="1"/>
  <c r="L50"/>
  <c r="J56"/>
  <c r="J57" s="1"/>
  <c r="L58"/>
  <c r="I64"/>
  <c r="I65" s="1"/>
  <c r="I63"/>
  <c r="L66"/>
  <c r="I72"/>
  <c r="I73" s="1"/>
  <c r="I71"/>
  <c r="I80"/>
  <c r="I81" s="1"/>
  <c r="I79"/>
  <c r="L74"/>
  <c r="K55"/>
  <c r="J63"/>
  <c r="J55"/>
  <c r="K79"/>
  <c r="I55"/>
  <c r="I56"/>
  <c r="I57" s="1"/>
  <c r="K71"/>
  <c r="J79"/>
  <c r="K63"/>
  <c r="J71"/>
  <c r="L37"/>
  <c r="K42"/>
  <c r="J42"/>
  <c r="I42"/>
  <c r="L35"/>
  <c r="L36" s="1"/>
  <c r="L34"/>
  <c r="K34"/>
  <c r="J34"/>
  <c r="I34"/>
  <c r="K26"/>
  <c r="L21"/>
  <c r="J26"/>
  <c r="I26"/>
  <c r="L13"/>
  <c r="L55" l="1"/>
  <c r="L72"/>
  <c r="L73" s="1"/>
  <c r="L71"/>
  <c r="L80"/>
  <c r="L81" s="1"/>
  <c r="L79"/>
  <c r="L64"/>
  <c r="L65" s="1"/>
  <c r="L63"/>
  <c r="L43"/>
  <c r="L44" s="1"/>
  <c r="L42"/>
  <c r="L27"/>
  <c r="L28" s="1"/>
  <c r="L26"/>
</calcChain>
</file>

<file path=xl/sharedStrings.xml><?xml version="1.0" encoding="utf-8"?>
<sst xmlns="http://schemas.openxmlformats.org/spreadsheetml/2006/main" count="77" uniqueCount="26">
  <si>
    <t xml:space="preserve">הוות עדן </t>
  </si>
  <si>
    <t>22.6.2011</t>
  </si>
  <si>
    <t>עגבניות</t>
  </si>
  <si>
    <t>A</t>
  </si>
  <si>
    <t>B</t>
  </si>
  <si>
    <t>C</t>
  </si>
  <si>
    <t>O</t>
  </si>
  <si>
    <t>1 ppm</t>
  </si>
  <si>
    <t>10 ppm</t>
  </si>
  <si>
    <t>20 ppm</t>
  </si>
  <si>
    <t>Broomrape seeds concentration</t>
  </si>
  <si>
    <t>With Monitor</t>
  </si>
  <si>
    <t>6 ארגזים</t>
  </si>
  <si>
    <t>ארגז 1</t>
  </si>
  <si>
    <t>אדום</t>
  </si>
  <si>
    <t>ארגזים</t>
  </si>
  <si>
    <t>ירוק</t>
  </si>
  <si>
    <t>רקוב</t>
  </si>
  <si>
    <t>Brutto</t>
  </si>
  <si>
    <t>Netto</t>
  </si>
  <si>
    <t>Total</t>
  </si>
  <si>
    <t>חילקה</t>
  </si>
  <si>
    <t>AVERAGE</t>
  </si>
  <si>
    <t>STD</t>
  </si>
  <si>
    <t>St. error</t>
  </si>
  <si>
    <t>Without 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</si>
</sst>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993300"/>
      <color rgb="FF663300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With monitor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8571741032370985E-2"/>
          <c:y val="7.4548702245552642E-2"/>
          <c:w val="0.74984623797025374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גיליון1!$O$12</c:f>
              <c:strCache>
                <c:ptCount val="1"/>
                <c:pt idx="0">
                  <c:v>אדום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C00000"/>
              </a:solidFill>
            </a:ln>
          </c:spPr>
          <c:errBars>
            <c:errBarType val="both"/>
            <c:errValType val="cust"/>
            <c:plus>
              <c:numRef>
                <c:f>גיליון1!$T$13:$T$16</c:f>
                <c:numCache>
                  <c:formatCode>General</c:formatCode>
                  <c:ptCount val="4"/>
                  <c:pt idx="0">
                    <c:v>5.3600659977279692</c:v>
                  </c:pt>
                  <c:pt idx="1">
                    <c:v>3.6509152961962377</c:v>
                  </c:pt>
                  <c:pt idx="2">
                    <c:v>6.0727104739152056</c:v>
                  </c:pt>
                  <c:pt idx="3">
                    <c:v>4.7256422843883774</c:v>
                  </c:pt>
                </c:numCache>
              </c:numRef>
            </c:plus>
            <c:minus>
              <c:numRef>
                <c:f>גיליון1!$T$13:$T$16</c:f>
                <c:numCache>
                  <c:formatCode>General</c:formatCode>
                  <c:ptCount val="4"/>
                  <c:pt idx="0">
                    <c:v>5.3600659977279692</c:v>
                  </c:pt>
                  <c:pt idx="1">
                    <c:v>3.6509152961962377</c:v>
                  </c:pt>
                  <c:pt idx="2">
                    <c:v>6.0727104739152056</c:v>
                  </c:pt>
                  <c:pt idx="3">
                    <c:v>4.7256422843883774</c:v>
                  </c:pt>
                </c:numCache>
              </c:numRef>
            </c:minus>
          </c:errBars>
          <c:cat>
            <c:strRef>
              <c:f>גיליון1!$N$13:$N$16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</c:v>
                </c:pt>
              </c:strCache>
            </c:strRef>
          </c:cat>
          <c:val>
            <c:numRef>
              <c:f>גיליון1!$O$13:$O$16</c:f>
              <c:numCache>
                <c:formatCode>General</c:formatCode>
                <c:ptCount val="4"/>
                <c:pt idx="0">
                  <c:v>93.606000000000009</c:v>
                </c:pt>
                <c:pt idx="1">
                  <c:v>86.114000000000004</c:v>
                </c:pt>
                <c:pt idx="2">
                  <c:v>92.47</c:v>
                </c:pt>
                <c:pt idx="3">
                  <c:v>91.376000000000005</c:v>
                </c:pt>
              </c:numCache>
            </c:numRef>
          </c:val>
        </c:ser>
        <c:ser>
          <c:idx val="1"/>
          <c:order val="1"/>
          <c:tx>
            <c:strRef>
              <c:f>גיליון1!$P$12</c:f>
              <c:strCache>
                <c:ptCount val="1"/>
                <c:pt idx="0">
                  <c:v>ירוק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8000"/>
              </a:solidFill>
            </a:ln>
          </c:spPr>
          <c:errBars>
            <c:errBarType val="both"/>
            <c:errValType val="cust"/>
            <c:plus>
              <c:numRef>
                <c:f>גיליון1!$U$13:$U$16</c:f>
                <c:numCache>
                  <c:formatCode>General</c:formatCode>
                  <c:ptCount val="4"/>
                  <c:pt idx="0">
                    <c:v>0.56122188125553241</c:v>
                  </c:pt>
                  <c:pt idx="1">
                    <c:v>0.77304915755726666</c:v>
                  </c:pt>
                  <c:pt idx="2">
                    <c:v>0.57647202880972559</c:v>
                  </c:pt>
                  <c:pt idx="3">
                    <c:v>0.82855295545909469</c:v>
                  </c:pt>
                </c:numCache>
              </c:numRef>
            </c:plus>
            <c:minus>
              <c:numRef>
                <c:f>גיליון1!$U$13:$U$16</c:f>
                <c:numCache>
                  <c:formatCode>General</c:formatCode>
                  <c:ptCount val="4"/>
                  <c:pt idx="0">
                    <c:v>0.56122188125553241</c:v>
                  </c:pt>
                  <c:pt idx="1">
                    <c:v>0.77304915755726666</c:v>
                  </c:pt>
                  <c:pt idx="2">
                    <c:v>0.57647202880972559</c:v>
                  </c:pt>
                  <c:pt idx="3">
                    <c:v>0.82855295545909469</c:v>
                  </c:pt>
                </c:numCache>
              </c:numRef>
            </c:minus>
          </c:errBars>
          <c:cat>
            <c:strRef>
              <c:f>גיליון1!$N$13:$N$16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</c:v>
                </c:pt>
              </c:strCache>
            </c:strRef>
          </c:cat>
          <c:val>
            <c:numRef>
              <c:f>גיליון1!$P$13:$P$16</c:f>
              <c:numCache>
                <c:formatCode>General</c:formatCode>
                <c:ptCount val="4"/>
                <c:pt idx="0">
                  <c:v>4.0340000000000007</c:v>
                </c:pt>
                <c:pt idx="1">
                  <c:v>4.008</c:v>
                </c:pt>
                <c:pt idx="2">
                  <c:v>4.1259999999999994</c:v>
                </c:pt>
                <c:pt idx="3">
                  <c:v>5.33</c:v>
                </c:pt>
              </c:numCache>
            </c:numRef>
          </c:val>
        </c:ser>
        <c:ser>
          <c:idx val="2"/>
          <c:order val="2"/>
          <c:tx>
            <c:strRef>
              <c:f>גיליון1!$Q$12</c:f>
              <c:strCache>
                <c:ptCount val="1"/>
                <c:pt idx="0">
                  <c:v>רקוב</c:v>
                </c:pt>
              </c:strCache>
            </c:strRef>
          </c:tx>
          <c:spPr>
            <a:solidFill>
              <a:srgbClr val="993300"/>
            </a:solidFill>
            <a:ln>
              <a:solidFill>
                <a:srgbClr val="993300"/>
              </a:solidFill>
            </a:ln>
          </c:spPr>
          <c:errBars>
            <c:errBarType val="both"/>
            <c:errValType val="cust"/>
            <c:plus>
              <c:numRef>
                <c:f>גיליון1!$V$13:$V$16</c:f>
                <c:numCache>
                  <c:formatCode>General</c:formatCode>
                  <c:ptCount val="4"/>
                  <c:pt idx="0">
                    <c:v>5.7560298817848405</c:v>
                  </c:pt>
                  <c:pt idx="1">
                    <c:v>0.10663020210053004</c:v>
                  </c:pt>
                  <c:pt idx="2">
                    <c:v>0.35146834850381592</c:v>
                  </c:pt>
                  <c:pt idx="3">
                    <c:v>0.28570964281941907</c:v>
                  </c:pt>
                </c:numCache>
              </c:numRef>
            </c:plus>
            <c:minus>
              <c:numRef>
                <c:f>גיליון1!$V$13:$V$16</c:f>
                <c:numCache>
                  <c:formatCode>General</c:formatCode>
                  <c:ptCount val="4"/>
                  <c:pt idx="0">
                    <c:v>5.7560298817848405</c:v>
                  </c:pt>
                  <c:pt idx="1">
                    <c:v>0.10663020210053004</c:v>
                  </c:pt>
                  <c:pt idx="2">
                    <c:v>0.35146834850381592</c:v>
                  </c:pt>
                  <c:pt idx="3">
                    <c:v>0.28570964281941907</c:v>
                  </c:pt>
                </c:numCache>
              </c:numRef>
            </c:minus>
          </c:errBars>
          <c:cat>
            <c:strRef>
              <c:f>גיליון1!$N$13:$N$16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</c:v>
                </c:pt>
              </c:strCache>
            </c:strRef>
          </c:cat>
          <c:val>
            <c:numRef>
              <c:f>גיליון1!$Q$13:$Q$16</c:f>
              <c:numCache>
                <c:formatCode>General</c:formatCode>
                <c:ptCount val="4"/>
                <c:pt idx="0">
                  <c:v>6.5380000000000011</c:v>
                </c:pt>
                <c:pt idx="1">
                  <c:v>1.294</c:v>
                </c:pt>
                <c:pt idx="2">
                  <c:v>1.4379999999999999</c:v>
                </c:pt>
                <c:pt idx="3">
                  <c:v>1.042</c:v>
                </c:pt>
              </c:numCache>
            </c:numRef>
          </c:val>
        </c:ser>
        <c:ser>
          <c:idx val="3"/>
          <c:order val="3"/>
          <c:tx>
            <c:strRef>
              <c:f>גיליון1!$R$12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rgbClr val="0000FF"/>
              </a:solidFill>
            </a:ln>
          </c:spPr>
          <c:errBars>
            <c:errBarType val="both"/>
            <c:errValType val="cust"/>
            <c:plus>
              <c:numRef>
                <c:f>גיליון1!$W$13:$W$16</c:f>
                <c:numCache>
                  <c:formatCode>General</c:formatCode>
                  <c:ptCount val="4"/>
                  <c:pt idx="0">
                    <c:v>9.9636811721371199</c:v>
                  </c:pt>
                  <c:pt idx="1">
                    <c:v>3.5285825766163388</c:v>
                  </c:pt>
                  <c:pt idx="2">
                    <c:v>5.978629232524713</c:v>
                  </c:pt>
                  <c:pt idx="3">
                    <c:v>4.3425257627331506</c:v>
                  </c:pt>
                </c:numCache>
              </c:numRef>
            </c:plus>
            <c:minus>
              <c:numRef>
                <c:f>גיליון1!$W$13:$W$16</c:f>
                <c:numCache>
                  <c:formatCode>General</c:formatCode>
                  <c:ptCount val="4"/>
                  <c:pt idx="0">
                    <c:v>9.9636811721371199</c:v>
                  </c:pt>
                  <c:pt idx="1">
                    <c:v>3.5285825766163388</c:v>
                  </c:pt>
                  <c:pt idx="2">
                    <c:v>5.978629232524713</c:v>
                  </c:pt>
                  <c:pt idx="3">
                    <c:v>4.3425257627331506</c:v>
                  </c:pt>
                </c:numCache>
              </c:numRef>
            </c:minus>
          </c:errBars>
          <c:cat>
            <c:strRef>
              <c:f>גיליון1!$N$13:$N$16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</c:v>
                </c:pt>
              </c:strCache>
            </c:strRef>
          </c:cat>
          <c:val>
            <c:numRef>
              <c:f>גיליון1!$R$13:$R$16</c:f>
              <c:numCache>
                <c:formatCode>General</c:formatCode>
                <c:ptCount val="4"/>
                <c:pt idx="0">
                  <c:v>104.178</c:v>
                </c:pt>
                <c:pt idx="1">
                  <c:v>91.415999999999997</c:v>
                </c:pt>
                <c:pt idx="2">
                  <c:v>98.03400000000002</c:v>
                </c:pt>
                <c:pt idx="3">
                  <c:v>97.747999999999976</c:v>
                </c:pt>
              </c:numCache>
            </c:numRef>
          </c:val>
        </c:ser>
        <c:axId val="75990912"/>
        <c:axId val="76546432"/>
      </c:barChart>
      <c:catAx>
        <c:axId val="75990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aseline="0">
                    <a:latin typeface="Times New Roman" pitchFamily="18" charset="0"/>
                  </a:rPr>
                  <a:t>Broomrape seeds concentration</a:t>
                </a:r>
              </a:p>
            </c:rich>
          </c:tx>
          <c:layout>
            <c:manualLayout>
              <c:xMode val="edge"/>
              <c:yMode val="edge"/>
              <c:x val="0.43684646767959745"/>
              <c:y val="0.95431112465645451"/>
            </c:manualLayout>
          </c:layout>
        </c:title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>
                <a:latin typeface="Times New Roman" pitchFamily="18" charset="0"/>
              </a:defRPr>
            </a:pPr>
            <a:endParaRPr lang="en-US"/>
          </a:p>
        </c:txPr>
        <c:crossAx val="76546432"/>
        <c:crosses val="autoZero"/>
        <c:auto val="1"/>
        <c:lblAlgn val="ctr"/>
        <c:lblOffset val="100"/>
      </c:catAx>
      <c:valAx>
        <c:axId val="7654643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aseline="0">
                    <a:latin typeface="Times New Roman" pitchFamily="18" charset="0"/>
                  </a:rPr>
                  <a:t>Weight (kg)</a:t>
                </a:r>
              </a:p>
            </c:rich>
          </c:tx>
          <c:layout>
            <c:manualLayout>
              <c:xMode val="edge"/>
              <c:yMode val="edge"/>
              <c:x val="1.8318699824612764E-2"/>
              <c:y val="0.4405145943305826"/>
            </c:manualLayout>
          </c:layout>
        </c:title>
        <c:numFmt formatCode="General" sourceLinked="1"/>
        <c:tickLblPos val="nextTo"/>
        <c:spPr>
          <a:ln w="1905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600" b="1" i="0" baseline="0">
                <a:latin typeface="Times New Roman" pitchFamily="18" charset="0"/>
              </a:defRPr>
            </a:pPr>
            <a:endParaRPr lang="en-US"/>
          </a:p>
        </c:txPr>
        <c:crossAx val="7599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051826525103438"/>
          <c:y val="0.2655792798371619"/>
          <c:w val="7.7184672283713715E-2"/>
          <c:h val="0.26193651859912981"/>
        </c:manualLayout>
      </c:layout>
      <c:txPr>
        <a:bodyPr/>
        <a:lstStyle/>
        <a:p>
          <a:pPr>
            <a:defRPr sz="1600" b="1" i="0" baseline="0">
              <a:cs typeface="David" pitchFamily="2" charset="-79"/>
            </a:defRPr>
          </a:pPr>
          <a:endParaRPr lang="en-US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Without monitor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9.8571741032371027E-2"/>
          <c:y val="7.4548702245552642E-2"/>
          <c:w val="0.74984623797025374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גיליון1!$P$50</c:f>
              <c:strCache>
                <c:ptCount val="1"/>
                <c:pt idx="0">
                  <c:v>אדום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C00000"/>
              </a:solidFill>
            </a:ln>
          </c:spPr>
          <c:errBars>
            <c:errBarType val="both"/>
            <c:errValType val="cust"/>
            <c:plus>
              <c:numRef>
                <c:f>גיליון1!$U$51:$U$54</c:f>
                <c:numCache>
                  <c:formatCode>General</c:formatCode>
                  <c:ptCount val="4"/>
                  <c:pt idx="0">
                    <c:v>5.5839058910408417</c:v>
                  </c:pt>
                  <c:pt idx="1">
                    <c:v>6.5556763571732128</c:v>
                  </c:pt>
                  <c:pt idx="2">
                    <c:v>6.196743499613298</c:v>
                  </c:pt>
                  <c:pt idx="3">
                    <c:v>8.6441750618552149</c:v>
                  </c:pt>
                </c:numCache>
              </c:numRef>
            </c:plus>
            <c:minus>
              <c:numRef>
                <c:f>גיליון1!$U$51:$U$54</c:f>
                <c:numCache>
                  <c:formatCode>General</c:formatCode>
                  <c:ptCount val="4"/>
                  <c:pt idx="0">
                    <c:v>5.5839058910408417</c:v>
                  </c:pt>
                  <c:pt idx="1">
                    <c:v>6.5556763571732128</c:v>
                  </c:pt>
                  <c:pt idx="2">
                    <c:v>6.196743499613298</c:v>
                  </c:pt>
                  <c:pt idx="3">
                    <c:v>8.6441750618552149</c:v>
                  </c:pt>
                </c:numCache>
              </c:numRef>
            </c:minus>
          </c:errBars>
          <c:cat>
            <c:strRef>
              <c:f>גיליון1!$O$51:$O$54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</c:v>
                </c:pt>
              </c:strCache>
            </c:strRef>
          </c:cat>
          <c:val>
            <c:numRef>
              <c:f>גיליון1!$P$51:$P$54</c:f>
              <c:numCache>
                <c:formatCode>General</c:formatCode>
                <c:ptCount val="4"/>
                <c:pt idx="0">
                  <c:v>85.157999999999987</c:v>
                </c:pt>
                <c:pt idx="1">
                  <c:v>72.147999999999996</c:v>
                </c:pt>
                <c:pt idx="2">
                  <c:v>64.608000000000004</c:v>
                </c:pt>
                <c:pt idx="3">
                  <c:v>77.86</c:v>
                </c:pt>
              </c:numCache>
            </c:numRef>
          </c:val>
        </c:ser>
        <c:ser>
          <c:idx val="1"/>
          <c:order val="1"/>
          <c:tx>
            <c:strRef>
              <c:f>גיליון1!$Q$50</c:f>
              <c:strCache>
                <c:ptCount val="1"/>
                <c:pt idx="0">
                  <c:v>ירוק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8000"/>
              </a:solidFill>
            </a:ln>
          </c:spPr>
          <c:errBars>
            <c:errBarType val="both"/>
            <c:errValType val="cust"/>
            <c:plus>
              <c:numRef>
                <c:f>גיליון1!$V$51:$V$54</c:f>
                <c:numCache>
                  <c:formatCode>General</c:formatCode>
                  <c:ptCount val="4"/>
                  <c:pt idx="0">
                    <c:v>0.37989472225868048</c:v>
                  </c:pt>
                  <c:pt idx="1">
                    <c:v>0.12409673645990861</c:v>
                  </c:pt>
                  <c:pt idx="2">
                    <c:v>7.5630681604756167E-2</c:v>
                  </c:pt>
                  <c:pt idx="3">
                    <c:v>0.31296165899355788</c:v>
                  </c:pt>
                </c:numCache>
              </c:numRef>
            </c:plus>
            <c:minus>
              <c:numRef>
                <c:f>גיליון1!$V$51:$V$54</c:f>
                <c:numCache>
                  <c:formatCode>General</c:formatCode>
                  <c:ptCount val="4"/>
                  <c:pt idx="0">
                    <c:v>0.37989472225868048</c:v>
                  </c:pt>
                  <c:pt idx="1">
                    <c:v>0.12409673645990861</c:v>
                  </c:pt>
                  <c:pt idx="2">
                    <c:v>7.5630681604756167E-2</c:v>
                  </c:pt>
                  <c:pt idx="3">
                    <c:v>0.31296165899355788</c:v>
                  </c:pt>
                </c:numCache>
              </c:numRef>
            </c:minus>
          </c:errBars>
          <c:cat>
            <c:strRef>
              <c:f>גיליון1!$O$51:$O$54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</c:v>
                </c:pt>
              </c:strCache>
            </c:strRef>
          </c:cat>
          <c:val>
            <c:numRef>
              <c:f>גיליון1!$Q$51:$Q$54</c:f>
              <c:numCache>
                <c:formatCode>General</c:formatCode>
                <c:ptCount val="4"/>
                <c:pt idx="0">
                  <c:v>0.64399999999999991</c:v>
                </c:pt>
                <c:pt idx="1">
                  <c:v>0.59000000000000008</c:v>
                </c:pt>
                <c:pt idx="2">
                  <c:v>0.32600000000000001</c:v>
                </c:pt>
                <c:pt idx="3">
                  <c:v>0.7360000000000001</c:v>
                </c:pt>
              </c:numCache>
            </c:numRef>
          </c:val>
        </c:ser>
        <c:ser>
          <c:idx val="2"/>
          <c:order val="2"/>
          <c:tx>
            <c:strRef>
              <c:f>גיליון1!$R$50</c:f>
              <c:strCache>
                <c:ptCount val="1"/>
                <c:pt idx="0">
                  <c:v>רקוב</c:v>
                </c:pt>
              </c:strCache>
            </c:strRef>
          </c:tx>
          <c:spPr>
            <a:solidFill>
              <a:srgbClr val="993300"/>
            </a:solidFill>
            <a:ln>
              <a:solidFill>
                <a:srgbClr val="993300"/>
              </a:solidFill>
            </a:ln>
          </c:spPr>
          <c:errBars>
            <c:errBarType val="both"/>
            <c:errValType val="cust"/>
            <c:plus>
              <c:numRef>
                <c:f>גיליון1!$W$51:$W$54</c:f>
                <c:numCache>
                  <c:formatCode>General</c:formatCode>
                  <c:ptCount val="4"/>
                  <c:pt idx="0">
                    <c:v>0.32476145091435954</c:v>
                  </c:pt>
                  <c:pt idx="1">
                    <c:v>0.15215124054702978</c:v>
                  </c:pt>
                  <c:pt idx="2">
                    <c:v>0.34445609299299679</c:v>
                  </c:pt>
                  <c:pt idx="3">
                    <c:v>0.31807231882073506</c:v>
                  </c:pt>
                </c:numCache>
              </c:numRef>
            </c:plus>
            <c:minus>
              <c:numRef>
                <c:f>גיליון1!$W$51:$W$54</c:f>
                <c:numCache>
                  <c:formatCode>General</c:formatCode>
                  <c:ptCount val="4"/>
                  <c:pt idx="0">
                    <c:v>0.32476145091435954</c:v>
                  </c:pt>
                  <c:pt idx="1">
                    <c:v>0.15215124054702978</c:v>
                  </c:pt>
                  <c:pt idx="2">
                    <c:v>0.34445609299299679</c:v>
                  </c:pt>
                  <c:pt idx="3">
                    <c:v>0.31807231882073506</c:v>
                  </c:pt>
                </c:numCache>
              </c:numRef>
            </c:minus>
          </c:errBars>
          <c:cat>
            <c:strRef>
              <c:f>גיליון1!$O$51:$O$54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</c:v>
                </c:pt>
              </c:strCache>
            </c:strRef>
          </c:cat>
          <c:val>
            <c:numRef>
              <c:f>גיליון1!$R$51:$R$54</c:f>
              <c:numCache>
                <c:formatCode>General</c:formatCode>
                <c:ptCount val="4"/>
                <c:pt idx="0">
                  <c:v>2.4140000000000001</c:v>
                </c:pt>
                <c:pt idx="1">
                  <c:v>1.61</c:v>
                </c:pt>
                <c:pt idx="2">
                  <c:v>1.43</c:v>
                </c:pt>
                <c:pt idx="3">
                  <c:v>2.5060000000000002</c:v>
                </c:pt>
              </c:numCache>
            </c:numRef>
          </c:val>
        </c:ser>
        <c:ser>
          <c:idx val="3"/>
          <c:order val="3"/>
          <c:tx>
            <c:strRef>
              <c:f>גיליון1!$S$50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rgbClr val="0000FF"/>
              </a:solidFill>
            </a:ln>
          </c:spPr>
          <c:errBars>
            <c:errBarType val="both"/>
            <c:errValType val="cust"/>
            <c:plus>
              <c:numRef>
                <c:f>גיליון1!$X$51:$X$54</c:f>
                <c:numCache>
                  <c:formatCode>General</c:formatCode>
                  <c:ptCount val="4"/>
                  <c:pt idx="0">
                    <c:v>5.9314591375141035</c:v>
                  </c:pt>
                  <c:pt idx="1">
                    <c:v>6.5240127605638376</c:v>
                  </c:pt>
                  <c:pt idx="2">
                    <c:v>6.3149916864553575</c:v>
                  </c:pt>
                  <c:pt idx="3">
                    <c:v>8.2358601554421629</c:v>
                  </c:pt>
                </c:numCache>
              </c:numRef>
            </c:plus>
            <c:minus>
              <c:numRef>
                <c:f>גיליון1!$X$51:$X$54</c:f>
                <c:numCache>
                  <c:formatCode>General</c:formatCode>
                  <c:ptCount val="4"/>
                  <c:pt idx="0">
                    <c:v>5.9314591375141035</c:v>
                  </c:pt>
                  <c:pt idx="1">
                    <c:v>6.5240127605638376</c:v>
                  </c:pt>
                  <c:pt idx="2">
                    <c:v>6.3149916864553575</c:v>
                  </c:pt>
                  <c:pt idx="3">
                    <c:v>8.2358601554421629</c:v>
                  </c:pt>
                </c:numCache>
              </c:numRef>
            </c:minus>
          </c:errBars>
          <c:cat>
            <c:strRef>
              <c:f>גיליון1!$O$51:$O$54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</c:v>
                </c:pt>
              </c:strCache>
            </c:strRef>
          </c:cat>
          <c:val>
            <c:numRef>
              <c:f>גיליון1!$S$51:$S$54</c:f>
              <c:numCache>
                <c:formatCode>General</c:formatCode>
                <c:ptCount val="4"/>
                <c:pt idx="0">
                  <c:v>88.216000000000008</c:v>
                </c:pt>
                <c:pt idx="1">
                  <c:v>74.347999999999999</c:v>
                </c:pt>
                <c:pt idx="2">
                  <c:v>66.364000000000004</c:v>
                </c:pt>
                <c:pt idx="3">
                  <c:v>81.102000000000004</c:v>
                </c:pt>
              </c:numCache>
            </c:numRef>
          </c:val>
        </c:ser>
        <c:axId val="85322752"/>
        <c:axId val="85447808"/>
      </c:barChart>
      <c:catAx>
        <c:axId val="85322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aseline="0">
                    <a:latin typeface="Times New Roman" pitchFamily="18" charset="0"/>
                  </a:rPr>
                  <a:t>Broomrape seeds concentration</a:t>
                </a:r>
              </a:p>
            </c:rich>
          </c:tx>
          <c:layout>
            <c:manualLayout>
              <c:xMode val="edge"/>
              <c:yMode val="edge"/>
              <c:x val="0.43684646767959778"/>
              <c:y val="0.95431112465645451"/>
            </c:manualLayout>
          </c:layout>
        </c:title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>
                <a:latin typeface="Times New Roman" pitchFamily="18" charset="0"/>
              </a:defRPr>
            </a:pPr>
            <a:endParaRPr lang="en-US"/>
          </a:p>
        </c:txPr>
        <c:crossAx val="85447808"/>
        <c:crosses val="autoZero"/>
        <c:auto val="1"/>
        <c:lblAlgn val="ctr"/>
        <c:lblOffset val="100"/>
      </c:catAx>
      <c:valAx>
        <c:axId val="8544780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aseline="0">
                    <a:latin typeface="Times New Roman" pitchFamily="18" charset="0"/>
                  </a:rPr>
                  <a:t>Weight (kg)</a:t>
                </a:r>
              </a:p>
            </c:rich>
          </c:tx>
          <c:layout>
            <c:manualLayout>
              <c:xMode val="edge"/>
              <c:yMode val="edge"/>
              <c:x val="1.8318699824612764E-2"/>
              <c:y val="0.44051459433058276"/>
            </c:manualLayout>
          </c:layout>
        </c:title>
        <c:numFmt formatCode="General" sourceLinked="1"/>
        <c:tickLblPos val="nextTo"/>
        <c:spPr>
          <a:ln w="1905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600" b="1" i="0" baseline="0">
                <a:latin typeface="Times New Roman" pitchFamily="18" charset="0"/>
              </a:defRPr>
            </a:pPr>
            <a:endParaRPr lang="en-US"/>
          </a:p>
        </c:txPr>
        <c:crossAx val="853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051826525103405"/>
          <c:y val="0.26557927983716206"/>
          <c:w val="7.7184672283713757E-2"/>
          <c:h val="0.26193651859912975"/>
        </c:manualLayout>
      </c:layout>
      <c:txPr>
        <a:bodyPr/>
        <a:lstStyle/>
        <a:p>
          <a:pPr>
            <a:defRPr sz="1600" b="1" i="0" baseline="0">
              <a:cs typeface="David" pitchFamily="2" charset="-79"/>
            </a:defRPr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975" cy="60767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7975" cy="60767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opLeftCell="J71" workbookViewId="0">
      <selection activeCell="P61" sqref="P61"/>
    </sheetView>
  </sheetViews>
  <sheetFormatPr defaultRowHeight="15"/>
  <cols>
    <col min="1" max="1" width="15.42578125" customWidth="1"/>
  </cols>
  <sheetData>
    <row r="1" spans="1:23">
      <c r="A1" t="s">
        <v>0</v>
      </c>
    </row>
    <row r="2" spans="1:23">
      <c r="A2" t="s">
        <v>1</v>
      </c>
      <c r="C2" t="s">
        <v>2</v>
      </c>
    </row>
    <row r="3" spans="1:23">
      <c r="B3" t="s">
        <v>10</v>
      </c>
    </row>
    <row r="4" spans="1:23">
      <c r="A4" s="2" t="s">
        <v>3</v>
      </c>
      <c r="B4" s="2" t="s">
        <v>7</v>
      </c>
    </row>
    <row r="5" spans="1:23">
      <c r="A5" s="2" t="s">
        <v>4</v>
      </c>
      <c r="B5" s="2" t="s">
        <v>8</v>
      </c>
    </row>
    <row r="6" spans="1:23">
      <c r="A6" s="2" t="s">
        <v>5</v>
      </c>
      <c r="B6" s="2" t="s">
        <v>9</v>
      </c>
    </row>
    <row r="7" spans="1:23">
      <c r="A7" s="2" t="s">
        <v>6</v>
      </c>
      <c r="B7" s="2">
        <v>0</v>
      </c>
    </row>
    <row r="9" spans="1:23">
      <c r="A9" s="3" t="s">
        <v>11</v>
      </c>
      <c r="E9" t="s">
        <v>12</v>
      </c>
      <c r="F9">
        <v>8.9600000000000009</v>
      </c>
    </row>
    <row r="10" spans="1:23">
      <c r="E10" t="s">
        <v>13</v>
      </c>
      <c r="F10" s="4">
        <f>F9/6</f>
        <v>1.4933333333333334</v>
      </c>
      <c r="O10" s="3" t="s">
        <v>11</v>
      </c>
    </row>
    <row r="11" spans="1:23">
      <c r="C11" t="s">
        <v>18</v>
      </c>
      <c r="I11" t="s">
        <v>19</v>
      </c>
    </row>
    <row r="12" spans="1:23">
      <c r="B12" s="1" t="s">
        <v>21</v>
      </c>
      <c r="C12" s="1" t="s">
        <v>14</v>
      </c>
      <c r="D12" s="1" t="s">
        <v>15</v>
      </c>
      <c r="E12" s="1" t="s">
        <v>16</v>
      </c>
      <c r="F12" s="1" t="s">
        <v>15</v>
      </c>
      <c r="G12" s="1" t="s">
        <v>17</v>
      </c>
      <c r="H12" s="1" t="s">
        <v>15</v>
      </c>
      <c r="I12" s="1" t="s">
        <v>14</v>
      </c>
      <c r="J12" s="1" t="s">
        <v>16</v>
      </c>
      <c r="K12" s="1" t="s">
        <v>17</v>
      </c>
      <c r="L12" s="1" t="s">
        <v>20</v>
      </c>
      <c r="O12" s="1" t="s">
        <v>14</v>
      </c>
      <c r="P12" s="1" t="s">
        <v>16</v>
      </c>
      <c r="Q12" s="1" t="s">
        <v>17</v>
      </c>
      <c r="R12" s="1" t="s">
        <v>20</v>
      </c>
      <c r="T12" s="1" t="s">
        <v>24</v>
      </c>
    </row>
    <row r="13" spans="1:23">
      <c r="A13" s="1" t="s">
        <v>3</v>
      </c>
      <c r="B13" s="1">
        <v>1</v>
      </c>
      <c r="C13" s="1">
        <f>62.42+50.28</f>
        <v>112.7</v>
      </c>
      <c r="D13" s="1">
        <v>7</v>
      </c>
      <c r="E13" s="1">
        <v>6.38</v>
      </c>
      <c r="F13" s="1">
        <v>1</v>
      </c>
      <c r="G13" s="1">
        <v>28.6</v>
      </c>
      <c r="H13" s="1">
        <v>1</v>
      </c>
      <c r="I13" s="1">
        <f>C13-1.49*7</f>
        <v>102.27000000000001</v>
      </c>
      <c r="J13" s="5">
        <f>E13-1.49</f>
        <v>4.8899999999999997</v>
      </c>
      <c r="K13" s="5">
        <f>G13-1.49</f>
        <v>27.110000000000003</v>
      </c>
      <c r="L13" s="5">
        <f>I13+J13+K13</f>
        <v>134.27000000000001</v>
      </c>
      <c r="N13" s="2" t="s">
        <v>3</v>
      </c>
      <c r="O13">
        <v>93.606000000000009</v>
      </c>
      <c r="P13">
        <v>4.0340000000000007</v>
      </c>
      <c r="Q13">
        <v>6.5380000000000011</v>
      </c>
      <c r="R13">
        <v>104.178</v>
      </c>
      <c r="T13">
        <v>5.3600659977279692</v>
      </c>
      <c r="U13">
        <v>0.56122188125553241</v>
      </c>
      <c r="V13">
        <v>5.7560298817848405</v>
      </c>
      <c r="W13">
        <v>9.9636811721371199</v>
      </c>
    </row>
    <row r="14" spans="1:23">
      <c r="B14" s="1">
        <v>8</v>
      </c>
      <c r="C14" s="1">
        <f>47.34+54.68</f>
        <v>102.02000000000001</v>
      </c>
      <c r="D14" s="1">
        <v>7</v>
      </c>
      <c r="E14" s="1">
        <v>5.92</v>
      </c>
      <c r="F14" s="1">
        <v>1</v>
      </c>
      <c r="G14" s="1">
        <v>3.48</v>
      </c>
      <c r="H14" s="1">
        <v>1</v>
      </c>
      <c r="I14" s="1">
        <f>C14-1.49*7</f>
        <v>91.59</v>
      </c>
      <c r="J14" s="5">
        <f t="shared" ref="J14:J17" si="0">E14-1.49</f>
        <v>4.43</v>
      </c>
      <c r="K14" s="5">
        <f t="shared" ref="K14:K17" si="1">G14-1.49</f>
        <v>1.99</v>
      </c>
      <c r="L14" s="5">
        <f t="shared" ref="L14:L17" si="2">I14+J14+K14</f>
        <v>98.01</v>
      </c>
      <c r="N14" s="2" t="s">
        <v>4</v>
      </c>
      <c r="O14">
        <v>86.114000000000004</v>
      </c>
      <c r="P14">
        <v>4.008</v>
      </c>
      <c r="Q14">
        <v>1.294</v>
      </c>
      <c r="R14">
        <v>91.415999999999997</v>
      </c>
      <c r="T14">
        <v>3.6509152961962377</v>
      </c>
      <c r="U14">
        <v>0.77304915755726666</v>
      </c>
      <c r="V14">
        <v>0.10663020210053004</v>
      </c>
      <c r="W14">
        <v>3.5285825766163388</v>
      </c>
    </row>
    <row r="15" spans="1:23">
      <c r="B15" s="1">
        <v>10</v>
      </c>
      <c r="C15" s="1">
        <f>49.76+45</f>
        <v>94.759999999999991</v>
      </c>
      <c r="D15" s="1">
        <v>6</v>
      </c>
      <c r="E15" s="1">
        <v>5.74</v>
      </c>
      <c r="F15" s="1">
        <v>1</v>
      </c>
      <c r="G15" s="1">
        <v>2.56</v>
      </c>
      <c r="H15" s="1">
        <v>1</v>
      </c>
      <c r="I15" s="1">
        <f>C15-1.49*6</f>
        <v>85.82</v>
      </c>
      <c r="J15" s="5">
        <f t="shared" si="0"/>
        <v>4.25</v>
      </c>
      <c r="K15" s="5">
        <f t="shared" si="1"/>
        <v>1.07</v>
      </c>
      <c r="L15" s="5">
        <f t="shared" si="2"/>
        <v>91.139999999999986</v>
      </c>
      <c r="N15" s="2" t="s">
        <v>5</v>
      </c>
      <c r="O15">
        <v>92.47</v>
      </c>
      <c r="P15">
        <v>4.1259999999999994</v>
      </c>
      <c r="Q15">
        <v>1.4379999999999999</v>
      </c>
      <c r="R15">
        <v>98.03400000000002</v>
      </c>
      <c r="T15">
        <v>6.0727104739152056</v>
      </c>
      <c r="U15">
        <v>0.57647202880972559</v>
      </c>
      <c r="V15">
        <v>0.35146834850381592</v>
      </c>
      <c r="W15">
        <v>5.978629232524713</v>
      </c>
    </row>
    <row r="16" spans="1:23">
      <c r="B16" s="1">
        <v>15</v>
      </c>
      <c r="C16" s="1">
        <v>90.48</v>
      </c>
      <c r="D16" s="1">
        <v>6</v>
      </c>
      <c r="E16" s="1">
        <v>3.56</v>
      </c>
      <c r="F16" s="1">
        <v>1</v>
      </c>
      <c r="G16" s="1">
        <v>2.2000000000000002</v>
      </c>
      <c r="H16" s="1">
        <v>1</v>
      </c>
      <c r="I16" s="1">
        <f>C16-1.49*6</f>
        <v>81.540000000000006</v>
      </c>
      <c r="J16" s="5">
        <f t="shared" si="0"/>
        <v>2.0700000000000003</v>
      </c>
      <c r="K16" s="5">
        <f t="shared" si="1"/>
        <v>0.71000000000000019</v>
      </c>
      <c r="L16" s="5">
        <f t="shared" si="2"/>
        <v>84.320000000000007</v>
      </c>
      <c r="N16" s="2" t="s">
        <v>6</v>
      </c>
      <c r="O16">
        <v>91.376000000000005</v>
      </c>
      <c r="P16">
        <v>5.33</v>
      </c>
      <c r="Q16">
        <v>1.042</v>
      </c>
      <c r="R16">
        <v>97.747999999999976</v>
      </c>
      <c r="T16">
        <v>4.7256422843883774</v>
      </c>
      <c r="U16">
        <v>0.82855295545909469</v>
      </c>
      <c r="V16">
        <v>0.28570964281941907</v>
      </c>
      <c r="W16">
        <v>4.3425257627331506</v>
      </c>
    </row>
    <row r="17" spans="1:12">
      <c r="B17" s="1">
        <v>17</v>
      </c>
      <c r="C17" s="1">
        <f>51.92+65.32</f>
        <v>117.24</v>
      </c>
      <c r="D17" s="1">
        <v>7</v>
      </c>
      <c r="E17" s="1">
        <v>6.02</v>
      </c>
      <c r="F17" s="1">
        <v>1</v>
      </c>
      <c r="G17" s="1">
        <v>3.3</v>
      </c>
      <c r="H17" s="1">
        <v>1</v>
      </c>
      <c r="I17" s="1">
        <f>C17-1.49*7</f>
        <v>106.81</v>
      </c>
      <c r="J17" s="5">
        <f t="shared" si="0"/>
        <v>4.5299999999999994</v>
      </c>
      <c r="K17" s="5">
        <f t="shared" si="1"/>
        <v>1.8099999999999998</v>
      </c>
      <c r="L17" s="5">
        <f t="shared" si="2"/>
        <v>113.15</v>
      </c>
    </row>
    <row r="18" spans="1:12">
      <c r="A18" t="s">
        <v>22</v>
      </c>
      <c r="B18" s="1"/>
      <c r="C18" s="1"/>
      <c r="D18" s="1"/>
      <c r="E18" s="1"/>
      <c r="F18" s="1"/>
      <c r="G18" s="1"/>
      <c r="H18" s="1"/>
      <c r="I18" s="6">
        <f>AVERAGE(I13:I17)</f>
        <v>93.606000000000009</v>
      </c>
      <c r="J18" s="6">
        <f t="shared" ref="J18:L18" si="3">AVERAGE(J13:J17)</f>
        <v>4.0340000000000007</v>
      </c>
      <c r="K18" s="6">
        <f t="shared" si="3"/>
        <v>6.5380000000000011</v>
      </c>
      <c r="L18" s="6">
        <f t="shared" si="3"/>
        <v>104.178</v>
      </c>
    </row>
    <row r="19" spans="1:12">
      <c r="A19" t="s">
        <v>23</v>
      </c>
      <c r="B19" s="1"/>
      <c r="C19" s="1"/>
      <c r="D19" s="1"/>
      <c r="E19" s="1"/>
      <c r="F19" s="1"/>
      <c r="G19" s="1"/>
      <c r="H19" s="1"/>
      <c r="I19" s="7">
        <f>STDEV(I13:I17)</f>
        <v>10.720131995455938</v>
      </c>
      <c r="J19" s="7">
        <f t="shared" ref="J19:L19" si="4">STDEV(J13:J17)</f>
        <v>1.1224437625110648</v>
      </c>
      <c r="K19" s="7">
        <f t="shared" si="4"/>
        <v>11.512059763569681</v>
      </c>
      <c r="L19" s="7">
        <f t="shared" si="4"/>
        <v>19.92736234427424</v>
      </c>
    </row>
    <row r="20" spans="1:12">
      <c r="A20" t="s">
        <v>24</v>
      </c>
      <c r="B20" s="1"/>
      <c r="C20" s="1"/>
      <c r="D20" s="1"/>
      <c r="E20" s="1"/>
      <c r="F20" s="1"/>
      <c r="G20" s="1"/>
      <c r="H20" s="1"/>
      <c r="I20" s="6">
        <f>I19/2</f>
        <v>5.3600659977279692</v>
      </c>
      <c r="J20" s="6">
        <f t="shared" ref="J20:L20" si="5">J19/2</f>
        <v>0.56122188125553241</v>
      </c>
      <c r="K20" s="6">
        <f t="shared" si="5"/>
        <v>5.7560298817848405</v>
      </c>
      <c r="L20" s="6">
        <f t="shared" si="5"/>
        <v>9.9636811721371199</v>
      </c>
    </row>
    <row r="21" spans="1:12">
      <c r="A21" s="1" t="s">
        <v>4</v>
      </c>
      <c r="B21" s="1">
        <v>2</v>
      </c>
      <c r="C21" s="1">
        <f>51.9+48.4</f>
        <v>100.3</v>
      </c>
      <c r="D21" s="1">
        <v>6</v>
      </c>
      <c r="E21" s="1">
        <v>6.14</v>
      </c>
      <c r="F21" s="1">
        <v>1</v>
      </c>
      <c r="G21" s="1">
        <v>3</v>
      </c>
      <c r="H21" s="1">
        <v>1</v>
      </c>
      <c r="I21" s="1">
        <f>C21-1.49*6</f>
        <v>91.36</v>
      </c>
      <c r="J21" s="5">
        <f>E21-1.49</f>
        <v>4.6499999999999995</v>
      </c>
      <c r="K21" s="5">
        <f>G21-1.49</f>
        <v>1.51</v>
      </c>
      <c r="L21" s="5">
        <f>I21+J21+K21</f>
        <v>97.52000000000001</v>
      </c>
    </row>
    <row r="22" spans="1:12">
      <c r="B22" s="1">
        <v>7</v>
      </c>
      <c r="C22" s="1">
        <f>44.18+51.74</f>
        <v>95.92</v>
      </c>
      <c r="D22" s="1">
        <v>7</v>
      </c>
      <c r="E22" s="1">
        <v>6.86</v>
      </c>
      <c r="F22" s="1">
        <v>1</v>
      </c>
      <c r="G22" s="1">
        <v>2.6</v>
      </c>
      <c r="H22" s="1">
        <v>1</v>
      </c>
      <c r="I22" s="1">
        <f>C22-1.49*7</f>
        <v>85.490000000000009</v>
      </c>
      <c r="J22" s="5">
        <f t="shared" ref="J22:J25" si="6">E22-1.49</f>
        <v>5.37</v>
      </c>
      <c r="K22" s="5">
        <f t="shared" ref="K22:K25" si="7">G22-1.49</f>
        <v>1.1100000000000001</v>
      </c>
      <c r="L22" s="5">
        <f t="shared" ref="L22:L25" si="8">I22+J22+K22</f>
        <v>91.970000000000013</v>
      </c>
    </row>
    <row r="23" spans="1:12">
      <c r="B23" s="1">
        <v>9</v>
      </c>
      <c r="C23" s="1">
        <f>48.58+40.72</f>
        <v>89.3</v>
      </c>
      <c r="D23" s="1">
        <v>7</v>
      </c>
      <c r="E23" s="1">
        <v>6.78</v>
      </c>
      <c r="F23" s="1">
        <v>1</v>
      </c>
      <c r="G23" s="1">
        <v>2.72</v>
      </c>
      <c r="H23" s="1">
        <v>1</v>
      </c>
      <c r="I23" s="1">
        <f>C23-1.49*7</f>
        <v>78.87</v>
      </c>
      <c r="J23" s="5">
        <f t="shared" si="6"/>
        <v>5.29</v>
      </c>
      <c r="K23" s="5">
        <f t="shared" si="7"/>
        <v>1.2300000000000002</v>
      </c>
      <c r="L23" s="5">
        <f t="shared" si="8"/>
        <v>85.390000000000015</v>
      </c>
    </row>
    <row r="24" spans="1:12">
      <c r="B24" s="1">
        <v>16</v>
      </c>
      <c r="C24" s="1">
        <f>58.68+47.22</f>
        <v>105.9</v>
      </c>
      <c r="D24" s="1">
        <v>7</v>
      </c>
      <c r="E24" s="1">
        <v>3.5</v>
      </c>
      <c r="F24" s="1">
        <v>1</v>
      </c>
      <c r="G24" s="1">
        <v>3.02</v>
      </c>
      <c r="H24" s="1">
        <v>1</v>
      </c>
      <c r="I24" s="1">
        <f>C24-1.49*7</f>
        <v>95.47</v>
      </c>
      <c r="J24" s="5">
        <f t="shared" si="6"/>
        <v>2.0099999999999998</v>
      </c>
      <c r="K24" s="5">
        <f t="shared" si="7"/>
        <v>1.53</v>
      </c>
      <c r="L24" s="5">
        <f t="shared" si="8"/>
        <v>99.01</v>
      </c>
    </row>
    <row r="25" spans="1:12">
      <c r="B25" s="1">
        <v>18</v>
      </c>
      <c r="C25" s="1">
        <f>42.68+45.64</f>
        <v>88.32</v>
      </c>
      <c r="D25" s="1">
        <v>6</v>
      </c>
      <c r="E25" s="1">
        <v>4.21</v>
      </c>
      <c r="F25" s="1">
        <v>1</v>
      </c>
      <c r="G25" s="1">
        <v>2.58</v>
      </c>
      <c r="H25" s="1">
        <v>1</v>
      </c>
      <c r="I25" s="1">
        <f>C25-1.49*6</f>
        <v>79.38</v>
      </c>
      <c r="J25" s="5">
        <f t="shared" si="6"/>
        <v>2.7199999999999998</v>
      </c>
      <c r="K25" s="5">
        <f t="shared" si="7"/>
        <v>1.0900000000000001</v>
      </c>
      <c r="L25" s="5">
        <f t="shared" si="8"/>
        <v>83.19</v>
      </c>
    </row>
    <row r="26" spans="1:12">
      <c r="I26" s="6">
        <f>AVERAGE(I21:I25)</f>
        <v>86.114000000000004</v>
      </c>
      <c r="J26" s="6">
        <f t="shared" ref="J26" si="9">AVERAGE(J21:J25)</f>
        <v>4.008</v>
      </c>
      <c r="K26" s="6">
        <f t="shared" ref="K26" si="10">AVERAGE(K21:K25)</f>
        <v>1.294</v>
      </c>
      <c r="L26" s="6">
        <f t="shared" ref="L26" si="11">AVERAGE(L21:L25)</f>
        <v>91.415999999999997</v>
      </c>
    </row>
    <row r="27" spans="1:12">
      <c r="I27" s="7">
        <f>STDEV(I21:I25)</f>
        <v>7.3018305923924753</v>
      </c>
      <c r="J27" s="7">
        <f t="shared" ref="J27:L27" si="12">STDEV(J21:J25)</f>
        <v>1.5460983151145333</v>
      </c>
      <c r="K27" s="7">
        <f t="shared" si="12"/>
        <v>0.21326040420106007</v>
      </c>
      <c r="L27" s="7">
        <f t="shared" si="12"/>
        <v>7.0571651532326776</v>
      </c>
    </row>
    <row r="28" spans="1:12">
      <c r="I28" s="6">
        <f>I27/2</f>
        <v>3.6509152961962377</v>
      </c>
      <c r="J28" s="6">
        <f t="shared" ref="J28" si="13">J27/2</f>
        <v>0.77304915755726666</v>
      </c>
      <c r="K28" s="6">
        <f t="shared" ref="K28" si="14">K27/2</f>
        <v>0.10663020210053004</v>
      </c>
      <c r="L28" s="6">
        <f t="shared" ref="L28" si="15">L27/2</f>
        <v>3.5285825766163388</v>
      </c>
    </row>
    <row r="29" spans="1:12">
      <c r="A29" s="1" t="s">
        <v>5</v>
      </c>
      <c r="B29" s="1">
        <v>4</v>
      </c>
      <c r="C29">
        <f>55.2+37.32</f>
        <v>92.52000000000001</v>
      </c>
      <c r="D29">
        <v>7</v>
      </c>
      <c r="E29">
        <v>7.22</v>
      </c>
      <c r="F29">
        <v>1</v>
      </c>
      <c r="G29">
        <v>2.6</v>
      </c>
      <c r="H29">
        <v>1</v>
      </c>
      <c r="I29" s="1">
        <f>C29-1.49*7</f>
        <v>82.09</v>
      </c>
      <c r="J29" s="5">
        <f>E29-1.49</f>
        <v>5.7299999999999995</v>
      </c>
      <c r="K29" s="5">
        <f>G29-1.49</f>
        <v>1.1100000000000001</v>
      </c>
      <c r="L29" s="5">
        <f>I29+J29+K29</f>
        <v>88.93</v>
      </c>
    </row>
    <row r="30" spans="1:12">
      <c r="B30" s="1">
        <v>6</v>
      </c>
      <c r="C30">
        <f>44.48+57.37</f>
        <v>101.85</v>
      </c>
      <c r="D30">
        <v>7</v>
      </c>
      <c r="E30">
        <v>4.9800000000000004</v>
      </c>
      <c r="F30">
        <v>1</v>
      </c>
      <c r="G30">
        <v>2.38</v>
      </c>
      <c r="H30">
        <v>1</v>
      </c>
      <c r="I30" s="1">
        <f>C30-1.49*7</f>
        <v>91.419999999999987</v>
      </c>
      <c r="J30" s="5">
        <f t="shared" ref="J30:J33" si="16">E30-1.49</f>
        <v>3.49</v>
      </c>
      <c r="K30" s="5">
        <f t="shared" ref="K30:K33" si="17">G30-1.49</f>
        <v>0.8899999999999999</v>
      </c>
      <c r="L30" s="5">
        <f t="shared" ref="L30:L33" si="18">I30+J30+K30</f>
        <v>95.799999999999983</v>
      </c>
    </row>
    <row r="31" spans="1:12">
      <c r="B31" s="1">
        <v>11</v>
      </c>
      <c r="C31">
        <f>39.42+49.32</f>
        <v>88.740000000000009</v>
      </c>
      <c r="D31">
        <v>6</v>
      </c>
      <c r="E31">
        <v>6.14</v>
      </c>
      <c r="F31">
        <v>1</v>
      </c>
      <c r="G31">
        <v>2.4</v>
      </c>
      <c r="H31">
        <v>1</v>
      </c>
      <c r="I31" s="1">
        <f>C31-1.49*6</f>
        <v>79.800000000000011</v>
      </c>
      <c r="J31" s="5">
        <f t="shared" si="16"/>
        <v>4.6499999999999995</v>
      </c>
      <c r="K31" s="5">
        <f t="shared" si="17"/>
        <v>0.90999999999999992</v>
      </c>
      <c r="L31" s="5">
        <f t="shared" si="18"/>
        <v>85.360000000000014</v>
      </c>
    </row>
    <row r="32" spans="1:12">
      <c r="B32" s="1">
        <v>13</v>
      </c>
      <c r="C32">
        <f>69.7+49.14</f>
        <v>118.84</v>
      </c>
      <c r="D32">
        <v>7</v>
      </c>
      <c r="E32">
        <v>5.56</v>
      </c>
      <c r="F32">
        <v>1</v>
      </c>
      <c r="G32">
        <v>3.24</v>
      </c>
      <c r="H32">
        <v>1</v>
      </c>
      <c r="I32" s="1">
        <f>C32-1.49*7</f>
        <v>108.41</v>
      </c>
      <c r="J32" s="5">
        <f t="shared" si="16"/>
        <v>4.0699999999999994</v>
      </c>
      <c r="K32" s="5">
        <f t="shared" si="17"/>
        <v>1.7500000000000002</v>
      </c>
      <c r="L32" s="5">
        <f t="shared" si="18"/>
        <v>114.22999999999999</v>
      </c>
    </row>
    <row r="33" spans="1:16">
      <c r="B33" s="1">
        <v>20</v>
      </c>
      <c r="C33">
        <f>67.52+43.54</f>
        <v>111.06</v>
      </c>
      <c r="D33">
        <v>7</v>
      </c>
      <c r="E33">
        <v>4.18</v>
      </c>
      <c r="F33">
        <v>1</v>
      </c>
      <c r="G33">
        <v>4.0199999999999996</v>
      </c>
      <c r="H33">
        <v>1</v>
      </c>
      <c r="I33" s="1">
        <f>C33-1.49*7</f>
        <v>100.63</v>
      </c>
      <c r="J33" s="5">
        <f t="shared" si="16"/>
        <v>2.6899999999999995</v>
      </c>
      <c r="K33" s="5">
        <f t="shared" si="17"/>
        <v>2.5299999999999994</v>
      </c>
      <c r="L33" s="5">
        <f t="shared" si="18"/>
        <v>105.85</v>
      </c>
    </row>
    <row r="34" spans="1:16">
      <c r="B34" s="1"/>
      <c r="I34" s="6">
        <f>AVERAGE(I29:I33)</f>
        <v>92.47</v>
      </c>
      <c r="J34" s="6">
        <f t="shared" ref="J34" si="19">AVERAGE(J29:J33)</f>
        <v>4.1259999999999994</v>
      </c>
      <c r="K34" s="6">
        <f t="shared" ref="K34" si="20">AVERAGE(K29:K33)</f>
        <v>1.4379999999999999</v>
      </c>
      <c r="L34" s="6">
        <f t="shared" ref="L34" si="21">AVERAGE(L29:L33)</f>
        <v>98.03400000000002</v>
      </c>
    </row>
    <row r="35" spans="1:16">
      <c r="I35" s="7">
        <f>STDEV(I29:I33)</f>
        <v>12.145420947830411</v>
      </c>
      <c r="J35" s="7">
        <f t="shared" ref="J35:L35" si="22">STDEV(J29:J33)</f>
        <v>1.1529440576194512</v>
      </c>
      <c r="K35" s="7">
        <f t="shared" si="22"/>
        <v>0.70293669700763184</v>
      </c>
      <c r="L35" s="7">
        <f t="shared" si="22"/>
        <v>11.957258465049426</v>
      </c>
    </row>
    <row r="36" spans="1:16">
      <c r="I36" s="6">
        <f>I35/2</f>
        <v>6.0727104739152056</v>
      </c>
      <c r="J36" s="6">
        <f t="shared" ref="J36" si="23">J35/2</f>
        <v>0.57647202880972559</v>
      </c>
      <c r="K36" s="6">
        <f t="shared" ref="K36" si="24">K35/2</f>
        <v>0.35146834850381592</v>
      </c>
      <c r="L36" s="6">
        <f t="shared" ref="L36" si="25">L35/2</f>
        <v>5.978629232524713</v>
      </c>
    </row>
    <row r="37" spans="1:16">
      <c r="A37" s="1" t="s">
        <v>6</v>
      </c>
      <c r="B37" s="2">
        <v>3</v>
      </c>
      <c r="C37">
        <f>43.22+42.26</f>
        <v>85.47999999999999</v>
      </c>
      <c r="D37">
        <v>7</v>
      </c>
      <c r="E37">
        <v>9.08</v>
      </c>
      <c r="F37">
        <v>1</v>
      </c>
      <c r="G37">
        <v>1.86</v>
      </c>
      <c r="H37">
        <v>1</v>
      </c>
      <c r="I37" s="1">
        <f>C37-1.49*7</f>
        <v>75.049999999999983</v>
      </c>
      <c r="J37" s="5">
        <f>E37-1.49</f>
        <v>7.59</v>
      </c>
      <c r="K37" s="5">
        <f>G37-1.49</f>
        <v>0.37000000000000011</v>
      </c>
      <c r="L37" s="5">
        <f>I37+J37+K37</f>
        <v>83.009999999999991</v>
      </c>
    </row>
    <row r="38" spans="1:16">
      <c r="B38" s="2">
        <v>5</v>
      </c>
      <c r="C38">
        <f>80.74+30.06</f>
        <v>110.8</v>
      </c>
      <c r="D38">
        <v>8</v>
      </c>
      <c r="E38">
        <v>7.4</v>
      </c>
      <c r="F38">
        <v>1</v>
      </c>
      <c r="G38">
        <v>2.2200000000000002</v>
      </c>
      <c r="H38">
        <v>1</v>
      </c>
      <c r="I38" s="1">
        <f>C38-1.49*8</f>
        <v>98.88</v>
      </c>
      <c r="J38" s="5">
        <f t="shared" ref="J38:J41" si="26">E38-1.49</f>
        <v>5.91</v>
      </c>
      <c r="K38" s="5">
        <f t="shared" ref="K38:K41" si="27">G38-1.49</f>
        <v>0.7300000000000002</v>
      </c>
      <c r="L38" s="5">
        <f t="shared" ref="L38:L41" si="28">I38+J38+K38</f>
        <v>105.52</v>
      </c>
    </row>
    <row r="39" spans="1:16">
      <c r="B39" s="2">
        <v>12</v>
      </c>
      <c r="C39">
        <f>61.52+42.64</f>
        <v>104.16</v>
      </c>
      <c r="D39">
        <v>7</v>
      </c>
      <c r="E39">
        <v>7.12</v>
      </c>
      <c r="F39">
        <v>1</v>
      </c>
      <c r="G39">
        <v>2.72</v>
      </c>
      <c r="H39">
        <v>1</v>
      </c>
      <c r="I39" s="1">
        <f>C39-1.49*7</f>
        <v>93.72999999999999</v>
      </c>
      <c r="J39" s="5">
        <f t="shared" si="26"/>
        <v>5.63</v>
      </c>
      <c r="K39" s="5">
        <f t="shared" si="27"/>
        <v>1.2300000000000002</v>
      </c>
      <c r="L39" s="5">
        <f t="shared" si="28"/>
        <v>100.58999999999999</v>
      </c>
    </row>
    <row r="40" spans="1:16">
      <c r="B40" s="2">
        <v>14</v>
      </c>
      <c r="C40">
        <f>45.56+57.48</f>
        <v>103.03999999999999</v>
      </c>
      <c r="D40">
        <v>7</v>
      </c>
      <c r="E40">
        <v>5.76</v>
      </c>
      <c r="F40">
        <v>1</v>
      </c>
      <c r="G40">
        <v>2.48</v>
      </c>
      <c r="H40">
        <v>1</v>
      </c>
      <c r="I40" s="1">
        <f>C40-1.49*7</f>
        <v>92.609999999999985</v>
      </c>
      <c r="J40" s="5">
        <f t="shared" si="26"/>
        <v>4.2699999999999996</v>
      </c>
      <c r="K40" s="5">
        <f t="shared" si="27"/>
        <v>0.99</v>
      </c>
      <c r="L40" s="5">
        <f t="shared" si="28"/>
        <v>97.869999999999976</v>
      </c>
    </row>
    <row r="41" spans="1:16">
      <c r="B41" s="2">
        <v>19</v>
      </c>
      <c r="C41">
        <f>58.1+48.94</f>
        <v>107.03999999999999</v>
      </c>
      <c r="D41">
        <v>7</v>
      </c>
      <c r="E41">
        <v>4.74</v>
      </c>
      <c r="F41">
        <v>1</v>
      </c>
      <c r="G41">
        <v>3.38</v>
      </c>
      <c r="H41">
        <v>1</v>
      </c>
      <c r="I41" s="1">
        <f>C41-1.49*7</f>
        <v>96.609999999999985</v>
      </c>
      <c r="J41" s="5">
        <f t="shared" si="26"/>
        <v>3.25</v>
      </c>
      <c r="K41" s="5">
        <f t="shared" si="27"/>
        <v>1.89</v>
      </c>
      <c r="L41" s="5">
        <f t="shared" si="28"/>
        <v>101.74999999999999</v>
      </c>
    </row>
    <row r="42" spans="1:16">
      <c r="I42" s="6">
        <f>AVERAGE(I37:I41)</f>
        <v>91.376000000000005</v>
      </c>
      <c r="J42" s="6">
        <f t="shared" ref="J42" si="29">AVERAGE(J37:J41)</f>
        <v>5.33</v>
      </c>
      <c r="K42" s="6">
        <f t="shared" ref="K42" si="30">AVERAGE(K37:K41)</f>
        <v>1.042</v>
      </c>
      <c r="L42" s="6">
        <f t="shared" ref="L42" si="31">AVERAGE(L37:L41)</f>
        <v>97.747999999999976</v>
      </c>
    </row>
    <row r="43" spans="1:16">
      <c r="I43" s="7">
        <f>STDEV(I37:I41)</f>
        <v>9.4512845687767548</v>
      </c>
      <c r="J43" s="7">
        <f t="shared" ref="J43:L43" si="32">STDEV(J37:J41)</f>
        <v>1.6571059109181894</v>
      </c>
      <c r="K43" s="7">
        <f t="shared" si="32"/>
        <v>0.57141928563883815</v>
      </c>
      <c r="L43" s="7">
        <f t="shared" si="32"/>
        <v>8.6850515254663012</v>
      </c>
    </row>
    <row r="44" spans="1:16">
      <c r="I44" s="6">
        <f>I43/2</f>
        <v>4.7256422843883774</v>
      </c>
      <c r="J44" s="6">
        <f t="shared" ref="J44" si="33">J43/2</f>
        <v>0.82855295545909469</v>
      </c>
      <c r="K44" s="6">
        <f t="shared" ref="K44" si="34">K43/2</f>
        <v>0.28570964281941907</v>
      </c>
      <c r="L44" s="6">
        <f t="shared" ref="L44" si="35">L43/2</f>
        <v>4.3425257627331506</v>
      </c>
    </row>
    <row r="46" spans="1:16">
      <c r="A46" s="3" t="s">
        <v>25</v>
      </c>
      <c r="E46" t="s">
        <v>12</v>
      </c>
      <c r="F46">
        <v>8.9600000000000009</v>
      </c>
    </row>
    <row r="47" spans="1:16">
      <c r="E47" t="s">
        <v>13</v>
      </c>
      <c r="F47" s="4">
        <f>F46/6</f>
        <v>1.4933333333333334</v>
      </c>
    </row>
    <row r="48" spans="1:16">
      <c r="C48" t="s">
        <v>18</v>
      </c>
      <c r="I48" t="s">
        <v>19</v>
      </c>
      <c r="P48" s="3" t="s">
        <v>25</v>
      </c>
    </row>
    <row r="49" spans="1:24">
      <c r="B49" s="1" t="s">
        <v>21</v>
      </c>
      <c r="C49" s="1" t="s">
        <v>14</v>
      </c>
      <c r="D49" s="1" t="s">
        <v>15</v>
      </c>
      <c r="E49" s="1" t="s">
        <v>16</v>
      </c>
      <c r="F49" s="1" t="s">
        <v>15</v>
      </c>
      <c r="G49" s="1" t="s">
        <v>17</v>
      </c>
      <c r="H49" s="1" t="s">
        <v>15</v>
      </c>
      <c r="I49" s="1" t="s">
        <v>14</v>
      </c>
      <c r="J49" s="1" t="s">
        <v>16</v>
      </c>
      <c r="K49" s="1" t="s">
        <v>17</v>
      </c>
      <c r="L49" s="1" t="s">
        <v>20</v>
      </c>
    </row>
    <row r="50" spans="1:24">
      <c r="A50" s="1" t="s">
        <v>3</v>
      </c>
      <c r="B50" s="1">
        <v>21</v>
      </c>
      <c r="C50" s="1">
        <f>43.74+41.76</f>
        <v>85.5</v>
      </c>
      <c r="D50" s="1">
        <v>6</v>
      </c>
      <c r="E50" s="1">
        <v>2.08</v>
      </c>
      <c r="F50" s="1">
        <v>1</v>
      </c>
      <c r="G50" s="1">
        <v>3.74</v>
      </c>
      <c r="H50" s="1">
        <v>1</v>
      </c>
      <c r="I50" s="1">
        <f>C50-1.49*6</f>
        <v>76.56</v>
      </c>
      <c r="J50" s="5">
        <f>E50-1.49</f>
        <v>0.59000000000000008</v>
      </c>
      <c r="K50" s="5">
        <f>G50-1.49</f>
        <v>2.25</v>
      </c>
      <c r="L50" s="5">
        <f>I50+J50+K50</f>
        <v>79.400000000000006</v>
      </c>
      <c r="P50" s="1" t="s">
        <v>14</v>
      </c>
      <c r="Q50" s="1" t="s">
        <v>16</v>
      </c>
      <c r="R50" s="1" t="s">
        <v>17</v>
      </c>
      <c r="S50" s="1" t="s">
        <v>20</v>
      </c>
      <c r="U50" s="1" t="s">
        <v>24</v>
      </c>
    </row>
    <row r="51" spans="1:24">
      <c r="B51" s="1">
        <v>28</v>
      </c>
      <c r="C51" s="1">
        <v>90.9</v>
      </c>
      <c r="D51" s="1">
        <v>6</v>
      </c>
      <c r="E51" s="1">
        <v>0</v>
      </c>
      <c r="F51" s="1">
        <v>0</v>
      </c>
      <c r="G51" s="1">
        <v>4.24</v>
      </c>
      <c r="H51" s="1">
        <v>1</v>
      </c>
      <c r="I51" s="1">
        <f>C51-1.49*6</f>
        <v>81.960000000000008</v>
      </c>
      <c r="J51" s="5">
        <v>0</v>
      </c>
      <c r="K51" s="5">
        <f t="shared" ref="K51:K53" si="36">G51-1.49</f>
        <v>2.75</v>
      </c>
      <c r="L51" s="5">
        <f t="shared" ref="L51:L53" si="37">I51+J51+K51</f>
        <v>84.710000000000008</v>
      </c>
      <c r="O51" s="2" t="s">
        <v>3</v>
      </c>
      <c r="P51">
        <v>85.157999999999987</v>
      </c>
      <c r="Q51">
        <v>0.64399999999999991</v>
      </c>
      <c r="R51">
        <v>2.4140000000000001</v>
      </c>
      <c r="S51">
        <v>88.216000000000008</v>
      </c>
      <c r="U51">
        <v>5.5839058910408417</v>
      </c>
      <c r="V51">
        <v>0.37989472225868048</v>
      </c>
      <c r="W51">
        <v>0.32476145091435954</v>
      </c>
      <c r="X51">
        <v>5.9314591375141035</v>
      </c>
    </row>
    <row r="52" spans="1:24">
      <c r="B52" s="1">
        <v>30</v>
      </c>
      <c r="C52" s="1">
        <v>85.96</v>
      </c>
      <c r="D52" s="1">
        <v>6</v>
      </c>
      <c r="E52" s="1">
        <v>1.66</v>
      </c>
      <c r="F52" s="1">
        <v>1</v>
      </c>
      <c r="G52" s="1">
        <v>3.18</v>
      </c>
      <c r="H52" s="1">
        <v>1</v>
      </c>
      <c r="I52" s="1">
        <f>C52-1.49*6</f>
        <v>77.02</v>
      </c>
      <c r="J52" s="5">
        <f t="shared" ref="J52:J53" si="38">E52-1.49</f>
        <v>0.16999999999999993</v>
      </c>
      <c r="K52" s="5">
        <f t="shared" si="36"/>
        <v>1.6900000000000002</v>
      </c>
      <c r="L52" s="5">
        <f t="shared" si="37"/>
        <v>78.88</v>
      </c>
      <c r="O52" s="2" t="s">
        <v>4</v>
      </c>
      <c r="P52">
        <v>72.147999999999996</v>
      </c>
      <c r="Q52">
        <v>0.59000000000000008</v>
      </c>
      <c r="R52">
        <v>1.61</v>
      </c>
      <c r="S52">
        <v>74.347999999999999</v>
      </c>
      <c r="U52">
        <v>6.5556763571732128</v>
      </c>
      <c r="V52">
        <v>0.12409673645990861</v>
      </c>
      <c r="W52">
        <v>0.15215124054702978</v>
      </c>
      <c r="X52">
        <v>6.5240127605638376</v>
      </c>
    </row>
    <row r="53" spans="1:24">
      <c r="B53" s="1">
        <v>35</v>
      </c>
      <c r="C53" s="1">
        <f>43.5+50.42</f>
        <v>93.92</v>
      </c>
      <c r="D53" s="1">
        <v>5</v>
      </c>
      <c r="E53" s="1">
        <v>2.02</v>
      </c>
      <c r="F53" s="1">
        <v>1</v>
      </c>
      <c r="G53" s="1">
        <v>4.84</v>
      </c>
      <c r="H53" s="1">
        <v>1</v>
      </c>
      <c r="I53" s="1">
        <f>C53-1.49*5</f>
        <v>86.47</v>
      </c>
      <c r="J53" s="5">
        <f t="shared" si="38"/>
        <v>0.53</v>
      </c>
      <c r="K53" s="5">
        <f t="shared" si="36"/>
        <v>3.3499999999999996</v>
      </c>
      <c r="L53" s="5">
        <f t="shared" si="37"/>
        <v>90.35</v>
      </c>
      <c r="O53" s="2" t="s">
        <v>5</v>
      </c>
      <c r="P53">
        <v>64.608000000000004</v>
      </c>
      <c r="Q53">
        <v>0.32600000000000001</v>
      </c>
      <c r="R53">
        <v>1.43</v>
      </c>
      <c r="S53">
        <v>66.364000000000004</v>
      </c>
      <c r="U53">
        <v>6.196743499613298</v>
      </c>
      <c r="V53">
        <v>7.5630681604756167E-2</v>
      </c>
      <c r="W53">
        <v>0.34445609299299679</v>
      </c>
      <c r="X53">
        <v>6.3149916864553575</v>
      </c>
    </row>
    <row r="54" spans="1:24">
      <c r="B54" s="1">
        <v>37</v>
      </c>
      <c r="C54" s="1">
        <f>61.36+54.34</f>
        <v>115.7</v>
      </c>
      <c r="D54" s="1">
        <v>8</v>
      </c>
      <c r="E54" s="1">
        <v>3.42</v>
      </c>
      <c r="F54" s="1">
        <v>1</v>
      </c>
      <c r="G54" s="1">
        <v>3.52</v>
      </c>
      <c r="H54" s="1">
        <v>1</v>
      </c>
      <c r="I54" s="1">
        <f>C54-1.49*8</f>
        <v>103.78</v>
      </c>
      <c r="J54" s="5">
        <f t="shared" ref="J54" si="39">E54-1.49</f>
        <v>1.93</v>
      </c>
      <c r="K54" s="5">
        <f t="shared" ref="K54" si="40">G54-1.49</f>
        <v>2.0300000000000002</v>
      </c>
      <c r="L54" s="5">
        <f t="shared" ref="L54" si="41">I54+J54+K54</f>
        <v>107.74000000000001</v>
      </c>
      <c r="O54" s="2" t="s">
        <v>6</v>
      </c>
      <c r="P54">
        <v>77.86</v>
      </c>
      <c r="Q54">
        <v>0.7360000000000001</v>
      </c>
      <c r="R54">
        <v>2.5060000000000002</v>
      </c>
      <c r="S54">
        <v>81.102000000000004</v>
      </c>
      <c r="U54">
        <v>8.6441750618552149</v>
      </c>
      <c r="V54">
        <v>0.31296165899355788</v>
      </c>
      <c r="W54">
        <v>0.31807231882073506</v>
      </c>
      <c r="X54">
        <v>8.2358601554421629</v>
      </c>
    </row>
    <row r="55" spans="1:24">
      <c r="A55" t="s">
        <v>22</v>
      </c>
      <c r="B55" s="1"/>
      <c r="C55" s="1"/>
      <c r="D55" s="1"/>
      <c r="E55" s="1"/>
      <c r="F55" s="1"/>
      <c r="G55" s="1"/>
      <c r="H55" s="1"/>
      <c r="I55" s="6">
        <f>AVERAGE(I50:I54)</f>
        <v>85.157999999999987</v>
      </c>
      <c r="J55" s="6">
        <f t="shared" ref="J55" si="42">AVERAGE(J50:J54)</f>
        <v>0.64399999999999991</v>
      </c>
      <c r="K55" s="6">
        <f t="shared" ref="K55" si="43">AVERAGE(K50:K54)</f>
        <v>2.4140000000000001</v>
      </c>
      <c r="L55" s="6">
        <f t="shared" ref="L55" si="44">AVERAGE(L50:L54)</f>
        <v>88.216000000000008</v>
      </c>
    </row>
    <row r="56" spans="1:24">
      <c r="A56" t="s">
        <v>23</v>
      </c>
      <c r="B56" s="1"/>
      <c r="C56" s="1"/>
      <c r="D56" s="1"/>
      <c r="E56" s="1"/>
      <c r="F56" s="1"/>
      <c r="G56" s="1"/>
      <c r="H56" s="1"/>
      <c r="I56" s="7">
        <f>STDEV(I50:I54)</f>
        <v>11.167811782081683</v>
      </c>
      <c r="J56" s="7">
        <f t="shared" ref="J56:L56" si="45">STDEV(J50:J54)</f>
        <v>0.75978944451736097</v>
      </c>
      <c r="K56" s="7">
        <f t="shared" si="45"/>
        <v>0.64952290182871908</v>
      </c>
      <c r="L56" s="7">
        <f t="shared" si="45"/>
        <v>11.862918275028207</v>
      </c>
    </row>
    <row r="57" spans="1:24">
      <c r="A57" t="s">
        <v>24</v>
      </c>
      <c r="B57" s="1"/>
      <c r="C57" s="1"/>
      <c r="D57" s="1"/>
      <c r="E57" s="1"/>
      <c r="F57" s="1"/>
      <c r="G57" s="1"/>
      <c r="H57" s="1"/>
      <c r="I57" s="6">
        <f>I56/2</f>
        <v>5.5839058910408417</v>
      </c>
      <c r="J57" s="6">
        <f t="shared" ref="J57" si="46">J56/2</f>
        <v>0.37989472225868048</v>
      </c>
      <c r="K57" s="6">
        <f t="shared" ref="K57" si="47">K56/2</f>
        <v>0.32476145091435954</v>
      </c>
      <c r="L57" s="6">
        <f t="shared" ref="L57" si="48">L56/2</f>
        <v>5.9314591375141035</v>
      </c>
    </row>
    <row r="58" spans="1:24">
      <c r="A58" s="1" t="s">
        <v>4</v>
      </c>
      <c r="B58" s="1">
        <v>22</v>
      </c>
      <c r="C58" s="1">
        <v>71.31</v>
      </c>
      <c r="D58" s="1">
        <v>5</v>
      </c>
      <c r="E58" s="1">
        <v>1.8</v>
      </c>
      <c r="F58" s="1">
        <v>1</v>
      </c>
      <c r="G58" s="1">
        <v>3.54</v>
      </c>
      <c r="H58" s="1">
        <v>1</v>
      </c>
      <c r="I58" s="1">
        <f>C58-1.49*5</f>
        <v>63.86</v>
      </c>
      <c r="J58" s="5">
        <f>E58-1.49</f>
        <v>0.31000000000000005</v>
      </c>
      <c r="K58" s="5">
        <f>G58-1.49</f>
        <v>2.0499999999999998</v>
      </c>
      <c r="L58" s="5">
        <f>I58+J58+K58</f>
        <v>66.22</v>
      </c>
    </row>
    <row r="59" spans="1:24">
      <c r="B59" s="1">
        <v>27</v>
      </c>
      <c r="C59" s="1">
        <v>71.02</v>
      </c>
      <c r="D59" s="1">
        <v>5</v>
      </c>
      <c r="E59" s="1">
        <v>2.2400000000000002</v>
      </c>
      <c r="F59" s="1">
        <v>1</v>
      </c>
      <c r="G59" s="1">
        <v>3.12</v>
      </c>
      <c r="H59" s="1">
        <v>1</v>
      </c>
      <c r="I59" s="1">
        <f>C59-1.49*5</f>
        <v>63.569999999999993</v>
      </c>
      <c r="J59" s="5">
        <f t="shared" ref="J59:J60" si="49">E59-1.49</f>
        <v>0.75000000000000022</v>
      </c>
      <c r="K59" s="5">
        <f t="shared" ref="K59:K60" si="50">G59-1.49</f>
        <v>1.6300000000000001</v>
      </c>
      <c r="L59" s="5">
        <f t="shared" ref="L59:L60" si="51">I59+J59+K59</f>
        <v>65.949999999999989</v>
      </c>
    </row>
    <row r="60" spans="1:24">
      <c r="B60" s="1">
        <v>29</v>
      </c>
      <c r="C60" s="1">
        <f>57.74+41.51</f>
        <v>99.25</v>
      </c>
      <c r="D60" s="1">
        <v>6</v>
      </c>
      <c r="E60" s="1">
        <v>2.4</v>
      </c>
      <c r="F60" s="1">
        <v>1</v>
      </c>
      <c r="G60" s="1">
        <v>2.72</v>
      </c>
      <c r="H60" s="1">
        <v>1</v>
      </c>
      <c r="I60" s="1">
        <f>C60-1.49*6</f>
        <v>90.31</v>
      </c>
      <c r="J60" s="5">
        <f t="shared" si="49"/>
        <v>0.90999999999999992</v>
      </c>
      <c r="K60" s="5">
        <f t="shared" si="50"/>
        <v>1.2300000000000002</v>
      </c>
      <c r="L60" s="5">
        <f t="shared" si="51"/>
        <v>92.45</v>
      </c>
    </row>
    <row r="61" spans="1:24">
      <c r="B61" s="1">
        <v>36</v>
      </c>
      <c r="C61" s="1">
        <v>70.08</v>
      </c>
      <c r="D61" s="1">
        <v>6</v>
      </c>
      <c r="E61" s="1">
        <v>2.08</v>
      </c>
      <c r="F61" s="1">
        <v>1</v>
      </c>
      <c r="G61" s="1">
        <v>2.94</v>
      </c>
      <c r="H61" s="1">
        <v>1</v>
      </c>
      <c r="I61" s="1">
        <f t="shared" ref="I61:I62" si="52">C61-1.49*6</f>
        <v>61.14</v>
      </c>
      <c r="J61" s="5">
        <f t="shared" ref="J61:J62" si="53">E61-1.49</f>
        <v>0.59000000000000008</v>
      </c>
      <c r="K61" s="5">
        <f t="shared" ref="K61:K62" si="54">G61-1.49</f>
        <v>1.45</v>
      </c>
      <c r="L61" s="5">
        <f t="shared" ref="L61:L62" si="55">I61+J61+K61</f>
        <v>63.180000000000007</v>
      </c>
    </row>
    <row r="62" spans="1:24">
      <c r="B62" s="1">
        <v>38</v>
      </c>
      <c r="C62" s="1">
        <v>90.8</v>
      </c>
      <c r="D62" s="1">
        <v>6</v>
      </c>
      <c r="E62" s="1">
        <v>1.88</v>
      </c>
      <c r="F62" s="1">
        <v>1</v>
      </c>
      <c r="G62" s="1">
        <v>3.18</v>
      </c>
      <c r="H62" s="1">
        <v>1</v>
      </c>
      <c r="I62" s="1">
        <f t="shared" si="52"/>
        <v>81.86</v>
      </c>
      <c r="J62" s="5">
        <f t="shared" si="53"/>
        <v>0.3899999999999999</v>
      </c>
      <c r="K62" s="5">
        <f t="shared" si="54"/>
        <v>1.6900000000000002</v>
      </c>
      <c r="L62" s="5">
        <f t="shared" si="55"/>
        <v>83.94</v>
      </c>
    </row>
    <row r="63" spans="1:24">
      <c r="I63" s="6">
        <f>AVERAGE(I58:I62)</f>
        <v>72.147999999999996</v>
      </c>
      <c r="J63" s="6">
        <f t="shared" ref="J63" si="56">AVERAGE(J58:J62)</f>
        <v>0.59000000000000008</v>
      </c>
      <c r="K63" s="6">
        <f t="shared" ref="K63" si="57">AVERAGE(K58:K62)</f>
        <v>1.61</v>
      </c>
      <c r="L63" s="6">
        <f t="shared" ref="L63" si="58">AVERAGE(L58:L62)</f>
        <v>74.347999999999999</v>
      </c>
    </row>
    <row r="64" spans="1:24">
      <c r="I64" s="7">
        <f>STDEV(I58:I62)</f>
        <v>13.111352714346426</v>
      </c>
      <c r="J64" s="7">
        <f t="shared" ref="J64:L64" si="59">STDEV(J58:J62)</f>
        <v>0.24819347291981722</v>
      </c>
      <c r="K64" s="7">
        <f t="shared" si="59"/>
        <v>0.30430248109405955</v>
      </c>
      <c r="L64" s="7">
        <f t="shared" si="59"/>
        <v>13.048025521127675</v>
      </c>
    </row>
    <row r="65" spans="1:12">
      <c r="I65" s="6">
        <f>I64/2</f>
        <v>6.5556763571732128</v>
      </c>
      <c r="J65" s="6">
        <f t="shared" ref="J65" si="60">J64/2</f>
        <v>0.12409673645990861</v>
      </c>
      <c r="K65" s="6">
        <f t="shared" ref="K65" si="61">K64/2</f>
        <v>0.15215124054702978</v>
      </c>
      <c r="L65" s="6">
        <f t="shared" ref="L65" si="62">L64/2</f>
        <v>6.5240127605638376</v>
      </c>
    </row>
    <row r="66" spans="1:12">
      <c r="A66" s="1" t="s">
        <v>5</v>
      </c>
      <c r="B66" s="1">
        <v>24</v>
      </c>
      <c r="C66">
        <v>74.34</v>
      </c>
      <c r="D66">
        <v>6</v>
      </c>
      <c r="E66">
        <v>1.66</v>
      </c>
      <c r="F66">
        <v>1</v>
      </c>
      <c r="G66">
        <v>1.88</v>
      </c>
      <c r="H66">
        <v>1</v>
      </c>
      <c r="I66" s="1">
        <f>C66-1.49*6</f>
        <v>65.400000000000006</v>
      </c>
      <c r="J66" s="5">
        <f>E66-1.49</f>
        <v>0.16999999999999993</v>
      </c>
      <c r="K66" s="5">
        <f>G66-1.49</f>
        <v>0.3899999999999999</v>
      </c>
      <c r="L66" s="5">
        <f>I66+J66+K66</f>
        <v>65.960000000000008</v>
      </c>
    </row>
    <row r="67" spans="1:12">
      <c r="B67" s="1">
        <v>26</v>
      </c>
      <c r="C67">
        <f>50.8+27.7</f>
        <v>78.5</v>
      </c>
      <c r="D67">
        <v>6</v>
      </c>
      <c r="E67">
        <v>1.78</v>
      </c>
      <c r="F67">
        <v>1</v>
      </c>
      <c r="G67">
        <v>3.8</v>
      </c>
      <c r="H67">
        <v>1</v>
      </c>
      <c r="I67" s="1">
        <f>C67-1.49*6</f>
        <v>69.56</v>
      </c>
      <c r="J67" s="5">
        <f t="shared" ref="J67:J70" si="63">E67-1.49</f>
        <v>0.29000000000000004</v>
      </c>
      <c r="K67" s="5">
        <f t="shared" ref="K67:K70" si="64">G67-1.49</f>
        <v>2.3099999999999996</v>
      </c>
      <c r="L67" s="5">
        <f t="shared" ref="L67:L70" si="65">I67+J67+K67</f>
        <v>72.160000000000011</v>
      </c>
    </row>
    <row r="68" spans="1:12">
      <c r="B68" s="1">
        <v>31</v>
      </c>
      <c r="C68">
        <v>49.02</v>
      </c>
      <c r="D68">
        <v>4</v>
      </c>
      <c r="E68">
        <v>1.74</v>
      </c>
      <c r="F68">
        <v>1</v>
      </c>
      <c r="G68">
        <v>2.84</v>
      </c>
      <c r="H68">
        <v>1</v>
      </c>
      <c r="I68" s="1">
        <f>C68-1.49*4</f>
        <v>43.06</v>
      </c>
      <c r="J68" s="5">
        <f t="shared" si="63"/>
        <v>0.25</v>
      </c>
      <c r="K68" s="5">
        <f t="shared" si="64"/>
        <v>1.3499999999999999</v>
      </c>
      <c r="L68" s="5">
        <f t="shared" si="65"/>
        <v>44.660000000000004</v>
      </c>
    </row>
    <row r="69" spans="1:12">
      <c r="B69" s="1">
        <v>33</v>
      </c>
      <c r="C69">
        <v>81.599999999999994</v>
      </c>
      <c r="D69">
        <v>6</v>
      </c>
      <c r="E69">
        <v>2.06</v>
      </c>
      <c r="F69">
        <v>1</v>
      </c>
      <c r="G69">
        <v>3.1</v>
      </c>
      <c r="H69">
        <v>1</v>
      </c>
      <c r="I69" s="1">
        <f>C69-1.49*6</f>
        <v>72.66</v>
      </c>
      <c r="J69" s="5">
        <f t="shared" si="63"/>
        <v>0.57000000000000006</v>
      </c>
      <c r="K69" s="5">
        <f t="shared" si="64"/>
        <v>1.61</v>
      </c>
      <c r="L69" s="5">
        <f t="shared" si="65"/>
        <v>74.839999999999989</v>
      </c>
    </row>
    <row r="70" spans="1:12">
      <c r="B70" s="1">
        <v>40</v>
      </c>
      <c r="C70">
        <v>81.3</v>
      </c>
      <c r="D70">
        <v>6</v>
      </c>
      <c r="E70">
        <v>1.84</v>
      </c>
      <c r="F70">
        <v>1</v>
      </c>
      <c r="G70">
        <v>2.98</v>
      </c>
      <c r="H70">
        <v>1</v>
      </c>
      <c r="I70" s="1">
        <f>C70-1.49*6</f>
        <v>72.36</v>
      </c>
      <c r="J70" s="5">
        <f t="shared" si="63"/>
        <v>0.35000000000000009</v>
      </c>
      <c r="K70" s="5">
        <f t="shared" si="64"/>
        <v>1.49</v>
      </c>
      <c r="L70" s="5">
        <f t="shared" si="65"/>
        <v>74.199999999999989</v>
      </c>
    </row>
    <row r="71" spans="1:12">
      <c r="B71" s="1"/>
      <c r="I71" s="6">
        <f>AVERAGE(I66:I70)</f>
        <v>64.608000000000004</v>
      </c>
      <c r="J71" s="6">
        <f t="shared" ref="J71" si="66">AVERAGE(J66:J70)</f>
        <v>0.32600000000000001</v>
      </c>
      <c r="K71" s="6">
        <f t="shared" ref="K71" si="67">AVERAGE(K66:K70)</f>
        <v>1.43</v>
      </c>
      <c r="L71" s="6">
        <f t="shared" ref="L71" si="68">AVERAGE(L66:L70)</f>
        <v>66.364000000000004</v>
      </c>
    </row>
    <row r="72" spans="1:12">
      <c r="I72" s="7">
        <f>STDEV(I66:I70)</f>
        <v>12.393486999226596</v>
      </c>
      <c r="J72" s="7">
        <f t="shared" ref="J72:L72" si="69">STDEV(J66:J70)</f>
        <v>0.15126136320951233</v>
      </c>
      <c r="K72" s="7">
        <f t="shared" si="69"/>
        <v>0.68891218598599357</v>
      </c>
      <c r="L72" s="7">
        <f t="shared" si="69"/>
        <v>12.629983372910715</v>
      </c>
    </row>
    <row r="73" spans="1:12">
      <c r="I73" s="6">
        <f>I72/2</f>
        <v>6.196743499613298</v>
      </c>
      <c r="J73" s="6">
        <f t="shared" ref="J73" si="70">J72/2</f>
        <v>7.5630681604756167E-2</v>
      </c>
      <c r="K73" s="6">
        <f t="shared" ref="K73" si="71">K72/2</f>
        <v>0.34445609299299679</v>
      </c>
      <c r="L73" s="6">
        <f t="shared" ref="L73" si="72">L72/2</f>
        <v>6.3149916864553575</v>
      </c>
    </row>
    <row r="74" spans="1:12">
      <c r="A74" s="1" t="s">
        <v>6</v>
      </c>
      <c r="B74" s="2">
        <v>23</v>
      </c>
      <c r="C74">
        <v>77.52</v>
      </c>
      <c r="D74">
        <v>5</v>
      </c>
      <c r="E74">
        <v>2.34</v>
      </c>
      <c r="F74">
        <v>1</v>
      </c>
      <c r="G74">
        <v>4.5</v>
      </c>
      <c r="H74">
        <v>1</v>
      </c>
      <c r="I74" s="1">
        <f>C74-1.49*5</f>
        <v>70.069999999999993</v>
      </c>
      <c r="J74" s="5">
        <f>E74-1.49</f>
        <v>0.84999999999999987</v>
      </c>
      <c r="K74" s="5">
        <f>G74-1.49</f>
        <v>3.01</v>
      </c>
      <c r="L74" s="5">
        <f>I74+J74+K74</f>
        <v>73.929999999999993</v>
      </c>
    </row>
    <row r="75" spans="1:12">
      <c r="B75" s="2">
        <v>25</v>
      </c>
      <c r="C75">
        <v>84.46</v>
      </c>
      <c r="D75">
        <v>6</v>
      </c>
      <c r="E75">
        <v>3.2</v>
      </c>
      <c r="F75">
        <v>1</v>
      </c>
      <c r="G75">
        <v>3.58</v>
      </c>
      <c r="H75">
        <v>1</v>
      </c>
      <c r="I75" s="1">
        <f>C75-1.49*6</f>
        <v>75.52</v>
      </c>
      <c r="J75" s="5">
        <f t="shared" ref="J75:J77" si="73">E75-1.49</f>
        <v>1.7100000000000002</v>
      </c>
      <c r="K75" s="5">
        <f t="shared" ref="K75:K78" si="74">G75-1.49</f>
        <v>2.09</v>
      </c>
      <c r="L75" s="5">
        <f t="shared" ref="L75:L78" si="75">I75+J75+K75</f>
        <v>79.319999999999993</v>
      </c>
    </row>
    <row r="76" spans="1:12">
      <c r="B76" s="2">
        <v>32</v>
      </c>
      <c r="C76">
        <v>92.86</v>
      </c>
      <c r="D76">
        <v>6</v>
      </c>
      <c r="E76">
        <v>2.08</v>
      </c>
      <c r="F76">
        <v>1</v>
      </c>
      <c r="G76">
        <v>3.68</v>
      </c>
      <c r="H76">
        <v>1</v>
      </c>
      <c r="I76" s="1">
        <f>C76-1.49*6</f>
        <v>83.92</v>
      </c>
      <c r="J76" s="5">
        <f t="shared" si="73"/>
        <v>0.59000000000000008</v>
      </c>
      <c r="K76" s="5">
        <f t="shared" si="74"/>
        <v>2.1900000000000004</v>
      </c>
      <c r="L76" s="5">
        <f t="shared" si="75"/>
        <v>86.7</v>
      </c>
    </row>
    <row r="77" spans="1:12">
      <c r="B77" s="2">
        <v>34</v>
      </c>
      <c r="C77">
        <f>40.32+23.74</f>
        <v>64.06</v>
      </c>
      <c r="D77">
        <v>5</v>
      </c>
      <c r="E77">
        <v>2.02</v>
      </c>
      <c r="F77">
        <v>1</v>
      </c>
      <c r="G77">
        <v>4.84</v>
      </c>
      <c r="H77">
        <v>1</v>
      </c>
      <c r="I77" s="1">
        <f>C77-1.49*5</f>
        <v>56.61</v>
      </c>
      <c r="J77" s="5">
        <f t="shared" si="73"/>
        <v>0.53</v>
      </c>
      <c r="K77" s="5">
        <f t="shared" si="74"/>
        <v>3.3499999999999996</v>
      </c>
      <c r="L77" s="5">
        <f t="shared" si="75"/>
        <v>60.49</v>
      </c>
    </row>
    <row r="78" spans="1:12">
      <c r="B78" s="2">
        <v>39</v>
      </c>
      <c r="C78">
        <f>57.36+57.74</f>
        <v>115.1</v>
      </c>
      <c r="D78">
        <v>8</v>
      </c>
      <c r="E78">
        <v>0</v>
      </c>
      <c r="F78">
        <v>0</v>
      </c>
      <c r="G78">
        <v>3.38</v>
      </c>
      <c r="H78">
        <v>1</v>
      </c>
      <c r="I78" s="1">
        <f>C78-1.49*8</f>
        <v>103.17999999999999</v>
      </c>
      <c r="J78" s="5">
        <v>0</v>
      </c>
      <c r="K78" s="5">
        <f t="shared" si="74"/>
        <v>1.89</v>
      </c>
      <c r="L78" s="5">
        <f t="shared" si="75"/>
        <v>105.07</v>
      </c>
    </row>
    <row r="79" spans="1:12">
      <c r="I79" s="6">
        <f>AVERAGE(I74:I78)</f>
        <v>77.86</v>
      </c>
      <c r="J79" s="6">
        <f t="shared" ref="J79" si="76">AVERAGE(J74:J78)</f>
        <v>0.7360000000000001</v>
      </c>
      <c r="K79" s="6">
        <f t="shared" ref="K79" si="77">AVERAGE(K74:K78)</f>
        <v>2.5060000000000002</v>
      </c>
      <c r="L79" s="6">
        <f t="shared" ref="L79" si="78">AVERAGE(L74:L78)</f>
        <v>81.102000000000004</v>
      </c>
    </row>
    <row r="80" spans="1:12">
      <c r="I80" s="7">
        <f>STDEV(I74:I78)</f>
        <v>17.28835012371043</v>
      </c>
      <c r="J80" s="7">
        <f t="shared" ref="J80:L80" si="79">STDEV(J74:J78)</f>
        <v>0.62592331798711576</v>
      </c>
      <c r="K80" s="7">
        <f t="shared" si="79"/>
        <v>0.63614463764147011</v>
      </c>
      <c r="L80" s="7">
        <f t="shared" si="79"/>
        <v>16.471720310884326</v>
      </c>
    </row>
    <row r="81" spans="9:12">
      <c r="I81" s="6">
        <f>I80/2</f>
        <v>8.6441750618552149</v>
      </c>
      <c r="J81" s="6">
        <f t="shared" ref="J81" si="80">J80/2</f>
        <v>0.31296165899355788</v>
      </c>
      <c r="K81" s="6">
        <f t="shared" ref="K81" si="81">K80/2</f>
        <v>0.31807231882073506</v>
      </c>
      <c r="L81" s="6">
        <f t="shared" ref="L81" si="82">L80/2</f>
        <v>8.2358601554421629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גיליון1</vt:lpstr>
      <vt:lpstr>גיליון2</vt:lpstr>
      <vt:lpstr>גיליון3</vt:lpstr>
      <vt:lpstr>with monitor</vt:lpstr>
      <vt:lpstr>Without monitor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2011-06-23T15:20:54Z</dcterms:modified>
</cp:coreProperties>
</file>