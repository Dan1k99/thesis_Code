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65" windowHeight="113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41" i="1"/>
  <c r="G41"/>
</calcChain>
</file>

<file path=xl/sharedStrings.xml><?xml version="1.0" encoding="utf-8"?>
<sst xmlns="http://schemas.openxmlformats.org/spreadsheetml/2006/main" count="164" uniqueCount="102">
  <si>
    <t>משק</t>
  </si>
  <si>
    <t>חלקה</t>
  </si>
  <si>
    <t>דגם פיזור</t>
  </si>
  <si>
    <t>שם קובץ</t>
  </si>
  <si>
    <t>סוג מודל</t>
  </si>
  <si>
    <t xml:space="preserve">Legתוכנה legמס  </t>
  </si>
  <si>
    <t>ידני leg</t>
  </si>
  <si>
    <t>תוכנה range</t>
  </si>
  <si>
    <t>ידני range</t>
  </si>
  <si>
    <t>nugget</t>
  </si>
  <si>
    <t>p.sill</t>
  </si>
  <si>
    <t>nugget/sill</t>
  </si>
  <si>
    <t>מספר דגימות</t>
  </si>
  <si>
    <t>mean</t>
  </si>
  <si>
    <t>rms</t>
  </si>
  <si>
    <t>rms standart</t>
  </si>
  <si>
    <t>Average standart Error</t>
  </si>
  <si>
    <t>mean standart</t>
  </si>
  <si>
    <t>הערות</t>
  </si>
  <si>
    <t>חוות עדן</t>
  </si>
  <si>
    <t>מקבץ</t>
  </si>
  <si>
    <t>spherical</t>
  </si>
  <si>
    <t>25|12</t>
  </si>
  <si>
    <t>ללא שינוי</t>
  </si>
  <si>
    <t>יגור</t>
  </si>
  <si>
    <t>מקבץ קטן</t>
  </si>
  <si>
    <t>כפר החורש</t>
  </si>
  <si>
    <t>20|12</t>
  </si>
  <si>
    <t>כיווני צידי</t>
  </si>
  <si>
    <t>עין חרוד איחוד</t>
  </si>
  <si>
    <t>אקראי</t>
  </si>
  <si>
    <t>לאורך שורה</t>
  </si>
  <si>
    <t>חלקה ג'</t>
  </si>
  <si>
    <t>שד"א</t>
  </si>
  <si>
    <t>חמרה ו'</t>
  </si>
  <si>
    <t>שוקף א</t>
  </si>
  <si>
    <t>תחנת קמח</t>
  </si>
  <si>
    <t>מעג"ל</t>
  </si>
  <si>
    <t>מקרוז</t>
  </si>
  <si>
    <t>מסילות</t>
  </si>
  <si>
    <t>אם סוויסה</t>
  </si>
  <si>
    <t>מפרק</t>
  </si>
  <si>
    <t>אבלק</t>
  </si>
  <si>
    <t>גדש רא"ם</t>
  </si>
  <si>
    <t>דמון</t>
  </si>
  <si>
    <t>בוקי</t>
  </si>
  <si>
    <t>גד"ש יע"ן</t>
  </si>
  <si>
    <t>קונוע</t>
  </si>
  <si>
    <t>EDEN_Gimel_Krig</t>
  </si>
  <si>
    <t>5|12</t>
  </si>
  <si>
    <t>לללא שינוי</t>
  </si>
  <si>
    <t>לאורך שורה+מקבץבקצה דרום מערבי</t>
  </si>
  <si>
    <t>SDAֹ_Hamra_krig</t>
  </si>
  <si>
    <t>13|12</t>
  </si>
  <si>
    <t>כיווני צידי ולאורך שורה</t>
  </si>
  <si>
    <t>ואריוגרם un-bounded  range קצר</t>
  </si>
  <si>
    <t>Rational Quadratic</t>
  </si>
  <si>
    <t>הדגם פיזור תלוי בטיפולים בחלקה על-סמך הואריוגרם אין שונות מרחבית</t>
  </si>
  <si>
    <t>SDAֹShukafA_krig</t>
  </si>
  <si>
    <t>23|12</t>
  </si>
  <si>
    <t>כיווני צידי.מקבץ קטן בצפון מערב</t>
  </si>
  <si>
    <t>ואריוגרם "טוב"</t>
  </si>
  <si>
    <t>SDAֹShukafA_exp</t>
  </si>
  <si>
    <t>exponetial</t>
  </si>
  <si>
    <t>SDA_Kemach_krig</t>
  </si>
  <si>
    <t>sphrical</t>
  </si>
  <si>
    <t>50|12</t>
  </si>
  <si>
    <t>אקראי.נגיעות קצת יותר חמורה בצד הדרומי ומקבץ גדול בצפון החלקה</t>
  </si>
  <si>
    <t>SDA_Kemach_exp</t>
  </si>
  <si>
    <t>Makruz_krig</t>
  </si>
  <si>
    <t>68|12</t>
  </si>
  <si>
    <t>חצי חלקה נגועה ע"פ מ"ג</t>
  </si>
  <si>
    <t xml:space="preserve">ואריוגרם un-bounded  </t>
  </si>
  <si>
    <t>Savisa_krig</t>
  </si>
  <si>
    <t>51|12</t>
  </si>
  <si>
    <t>חלקה נגועה מאד בקצוות הנגיות קצת פחותה</t>
  </si>
  <si>
    <t>kfrhrsh_krig</t>
  </si>
  <si>
    <t>87|12</t>
  </si>
  <si>
    <t>damon_krig</t>
  </si>
  <si>
    <t>72|12</t>
  </si>
  <si>
    <t>כיווני צידי.כניסת מקבץ בניצב לשורות</t>
  </si>
  <si>
    <t>buky_krig</t>
  </si>
  <si>
    <t>35|12</t>
  </si>
  <si>
    <t>כיווני צידי. צד מערבי וצפוני נגועים יותר</t>
  </si>
  <si>
    <t>כמעט un-bounded שונות מפוזרת החל מ-200</t>
  </si>
  <si>
    <t>ygr_buky_Ratio_Q</t>
  </si>
  <si>
    <t>6|12</t>
  </si>
  <si>
    <t>yaen_kav_krig</t>
  </si>
  <si>
    <t>חצי מערבי משובש חמור וחצי משובש קל על-פי מחזור גידולים</t>
  </si>
  <si>
    <t>yaen_kav_exp</t>
  </si>
  <si>
    <t>range</t>
  </si>
  <si>
    <t>nugget/p.sill</t>
  </si>
  <si>
    <t>חומרת שיבוש [2+3אחוז]</t>
  </si>
  <si>
    <t>סה"כ</t>
  </si>
  <si>
    <t>ממוצע כללי</t>
  </si>
  <si>
    <t>חצי חלקה על-פי מחזור גידולים</t>
  </si>
  <si>
    <t>אם סוויסה(כתם הכולל כמעט את כל החלקה)</t>
  </si>
  <si>
    <t>ביאליק</t>
  </si>
  <si>
    <t>ביאליק (מקבץ נקי)</t>
  </si>
  <si>
    <t>חוות גד"ש 20</t>
  </si>
  <si>
    <t>כפר בלום ב'</t>
  </si>
  <si>
    <t>כרד 3+4</t>
  </si>
</sst>
</file>

<file path=xl/styles.xml><?xml version="1.0" encoding="utf-8"?>
<styleSheet xmlns="http://schemas.openxmlformats.org/spreadsheetml/2006/main">
  <fonts count="5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3" fillId="0" borderId="0" xfId="1"/>
    <xf numFmtId="0" fontId="3" fillId="0" borderId="0" xfId="1" applyAlignment="1">
      <alignment horizontal="right"/>
    </xf>
    <xf numFmtId="0" fontId="3" fillId="0" borderId="0" xfId="1" applyAlignment="1">
      <alignment horizontal="left"/>
    </xf>
    <xf numFmtId="0" fontId="4" fillId="0" borderId="0" xfId="1" applyFont="1"/>
    <xf numFmtId="0" fontId="2" fillId="0" borderId="0" xfId="1" applyFont="1"/>
    <xf numFmtId="0" fontId="2" fillId="0" borderId="0" xfId="1" applyFont="1" applyFill="1"/>
    <xf numFmtId="0" fontId="1" fillId="0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rightToLeft="1" tabSelected="1" topLeftCell="A34" workbookViewId="0">
      <selection activeCell="A29" sqref="A29"/>
    </sheetView>
  </sheetViews>
  <sheetFormatPr defaultRowHeight="14.25"/>
  <sheetData>
    <row r="1" spans="1:19">
      <c r="A1" s="1" t="s">
        <v>0</v>
      </c>
      <c r="B1" s="1" t="s">
        <v>1</v>
      </c>
      <c r="C1" s="1" t="s">
        <v>3</v>
      </c>
      <c r="D1" s="1" t="s">
        <v>4</v>
      </c>
      <c r="E1" s="3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2</v>
      </c>
      <c r="S1" s="1" t="s">
        <v>18</v>
      </c>
    </row>
    <row r="2" spans="1:19">
      <c r="A2" s="1" t="s">
        <v>19</v>
      </c>
      <c r="B2" s="1" t="s">
        <v>32</v>
      </c>
      <c r="C2" s="1" t="s">
        <v>48</v>
      </c>
      <c r="D2" s="1" t="s">
        <v>21</v>
      </c>
      <c r="E2" s="2" t="s">
        <v>49</v>
      </c>
      <c r="F2" s="1" t="s">
        <v>27</v>
      </c>
      <c r="G2" s="1">
        <v>36</v>
      </c>
      <c r="H2" s="1" t="s">
        <v>50</v>
      </c>
      <c r="I2" s="1">
        <v>0.28560999999999998</v>
      </c>
      <c r="J2" s="1">
        <v>0.1699</v>
      </c>
      <c r="K2" s="1">
        <v>1.68</v>
      </c>
      <c r="L2" s="1">
        <v>151</v>
      </c>
      <c r="M2" s="1">
        <v>8.9999999999999993E-3</v>
      </c>
      <c r="N2" s="1">
        <v>0.46679999999999999</v>
      </c>
      <c r="O2" s="1">
        <v>0.71840000000000004</v>
      </c>
      <c r="P2" s="1">
        <v>0.6512</v>
      </c>
      <c r="Q2" s="1">
        <v>1.34E-2</v>
      </c>
      <c r="R2" s="1" t="s">
        <v>51</v>
      </c>
      <c r="S2" s="1" t="s">
        <v>57</v>
      </c>
    </row>
    <row r="3" spans="1:19">
      <c r="A3" s="1" t="s">
        <v>33</v>
      </c>
      <c r="B3" s="1" t="s">
        <v>34</v>
      </c>
      <c r="C3" s="1" t="s">
        <v>52</v>
      </c>
      <c r="D3" s="1" t="s">
        <v>21</v>
      </c>
      <c r="E3" s="2" t="s">
        <v>53</v>
      </c>
      <c r="F3" s="1" t="s">
        <v>22</v>
      </c>
      <c r="G3" s="1">
        <v>90.9</v>
      </c>
      <c r="H3" s="1" t="s">
        <v>23</v>
      </c>
      <c r="I3" s="1">
        <v>8.4699999999999998E-2</v>
      </c>
      <c r="J3" s="1">
        <v>0.38150000000000001</v>
      </c>
      <c r="K3" s="1">
        <v>0.22</v>
      </c>
      <c r="L3" s="1">
        <v>382</v>
      </c>
      <c r="M3" s="1">
        <v>1.4E-3</v>
      </c>
      <c r="N3" s="1">
        <v>0.28039999999999998</v>
      </c>
      <c r="O3" s="1">
        <v>0.66420000000000001</v>
      </c>
      <c r="P3" s="1">
        <v>0.42380000000000001</v>
      </c>
      <c r="Q3" s="1">
        <v>1.4E-3</v>
      </c>
      <c r="R3" s="1" t="s">
        <v>54</v>
      </c>
      <c r="S3" s="1" t="s">
        <v>55</v>
      </c>
    </row>
    <row r="4" spans="1:19">
      <c r="A4" s="1" t="s">
        <v>33</v>
      </c>
      <c r="B4" s="1" t="s">
        <v>34</v>
      </c>
      <c r="C4" s="1"/>
      <c r="D4" s="1" t="s">
        <v>56</v>
      </c>
      <c r="E4" s="1"/>
      <c r="F4" s="1" t="s">
        <v>22</v>
      </c>
      <c r="G4" s="1">
        <v>140</v>
      </c>
      <c r="H4" s="1" t="s">
        <v>23</v>
      </c>
      <c r="I4" s="1">
        <v>0.10894</v>
      </c>
      <c r="J4" s="1">
        <v>0.37524000000000002</v>
      </c>
      <c r="K4" s="1">
        <v>0.28999999999999998</v>
      </c>
      <c r="L4" s="1">
        <v>382</v>
      </c>
      <c r="M4" s="1">
        <v>4.0000000000000001E-3</v>
      </c>
      <c r="N4" s="1">
        <v>0.26250000000000001</v>
      </c>
      <c r="O4" s="1">
        <v>0.63660000000000005</v>
      </c>
      <c r="P4" s="1">
        <v>0.4143</v>
      </c>
      <c r="Q4" s="1">
        <v>8.6E-3</v>
      </c>
      <c r="R4" s="1"/>
      <c r="S4" s="1"/>
    </row>
    <row r="5" spans="1:19">
      <c r="A5" s="1" t="s">
        <v>33</v>
      </c>
      <c r="B5" s="1" t="s">
        <v>35</v>
      </c>
      <c r="C5" s="1" t="s">
        <v>58</v>
      </c>
      <c r="D5" s="1" t="s">
        <v>21</v>
      </c>
      <c r="E5" s="1" t="s">
        <v>59</v>
      </c>
      <c r="F5" s="1" t="s">
        <v>22</v>
      </c>
      <c r="G5" s="1">
        <v>170.9</v>
      </c>
      <c r="H5" s="1" t="s">
        <v>23</v>
      </c>
      <c r="I5" s="1">
        <v>0.13395000000000001</v>
      </c>
      <c r="J5" s="1">
        <v>0.33022000000000001</v>
      </c>
      <c r="K5" s="1">
        <v>0.4</v>
      </c>
      <c r="L5" s="1">
        <v>391</v>
      </c>
      <c r="M5" s="1">
        <v>1.1999999999999999E-3</v>
      </c>
      <c r="N5" s="1">
        <v>0.37890000000000001</v>
      </c>
      <c r="O5" s="1">
        <v>0.87139999999999995</v>
      </c>
      <c r="P5" s="1">
        <v>0.43519999999999998</v>
      </c>
      <c r="Q5" s="1">
        <v>2.2000000000000001E-3</v>
      </c>
      <c r="R5" s="1" t="s">
        <v>60</v>
      </c>
      <c r="S5" s="1" t="s">
        <v>61</v>
      </c>
    </row>
    <row r="6" spans="1:19">
      <c r="A6" s="1" t="s">
        <v>33</v>
      </c>
      <c r="B6" s="1" t="s">
        <v>35</v>
      </c>
      <c r="C6" s="1" t="s">
        <v>62</v>
      </c>
      <c r="D6" s="1" t="s">
        <v>63</v>
      </c>
      <c r="E6" s="1" t="s">
        <v>59</v>
      </c>
      <c r="F6" s="1" t="s">
        <v>22</v>
      </c>
      <c r="G6" s="1">
        <v>203</v>
      </c>
      <c r="H6" s="1" t="s">
        <v>23</v>
      </c>
      <c r="I6" s="1">
        <v>8.2799999999999999E-2</v>
      </c>
      <c r="J6" s="1">
        <v>0.40021000000000001</v>
      </c>
      <c r="K6" s="1">
        <v>0.21</v>
      </c>
      <c r="L6" s="1">
        <v>391</v>
      </c>
      <c r="M6" s="1">
        <v>1.1000000000000001E-3</v>
      </c>
      <c r="N6" s="1">
        <v>0.35560000000000003</v>
      </c>
      <c r="O6" s="1">
        <v>0.86970000000000003</v>
      </c>
      <c r="P6" s="1">
        <v>0.40920000000000001</v>
      </c>
      <c r="Q6" s="1">
        <v>2.8E-3</v>
      </c>
      <c r="R6" s="1"/>
      <c r="S6" s="1"/>
    </row>
    <row r="7" spans="1:19">
      <c r="A7" s="1" t="s">
        <v>33</v>
      </c>
      <c r="B7" s="1" t="s">
        <v>36</v>
      </c>
      <c r="C7" s="1" t="s">
        <v>64</v>
      </c>
      <c r="D7" s="1" t="s">
        <v>65</v>
      </c>
      <c r="E7" s="1" t="s">
        <v>66</v>
      </c>
      <c r="F7" s="1" t="s">
        <v>22</v>
      </c>
      <c r="G7" s="1">
        <v>167.6</v>
      </c>
      <c r="H7" s="1" t="s">
        <v>23</v>
      </c>
      <c r="I7" s="1">
        <v>0.158</v>
      </c>
      <c r="J7" s="1">
        <v>9.7000000000000003E-2</v>
      </c>
      <c r="K7" s="1">
        <v>1.6</v>
      </c>
      <c r="L7" s="1">
        <v>617</v>
      </c>
      <c r="M7" s="1">
        <v>2.8999999999999998E-3</v>
      </c>
      <c r="N7" s="1">
        <v>0.40870000000000001</v>
      </c>
      <c r="O7" s="1">
        <v>0.94930000000000003</v>
      </c>
      <c r="P7" s="1">
        <v>0.43020000000000003</v>
      </c>
      <c r="Q7" s="1">
        <v>5.7000000000000002E-3</v>
      </c>
      <c r="R7" s="1" t="s">
        <v>67</v>
      </c>
      <c r="S7" s="1"/>
    </row>
    <row r="8" spans="1:19">
      <c r="A8" s="1" t="s">
        <v>33</v>
      </c>
      <c r="B8" s="1" t="s">
        <v>36</v>
      </c>
      <c r="C8" s="1" t="s">
        <v>68</v>
      </c>
      <c r="D8" s="1" t="s">
        <v>63</v>
      </c>
      <c r="E8" s="1"/>
      <c r="F8" s="1" t="s">
        <v>22</v>
      </c>
      <c r="G8" s="1">
        <v>164.6</v>
      </c>
      <c r="H8" s="1" t="s">
        <v>23</v>
      </c>
      <c r="I8" s="1">
        <v>0.127</v>
      </c>
      <c r="J8" s="1">
        <v>0.13</v>
      </c>
      <c r="K8" s="1">
        <v>0.97</v>
      </c>
      <c r="L8" s="1">
        <v>617</v>
      </c>
      <c r="M8" s="1">
        <v>3.0000000000000001E-3</v>
      </c>
      <c r="N8" s="1">
        <v>0.39250000000000002</v>
      </c>
      <c r="O8" s="1">
        <v>0.9415</v>
      </c>
      <c r="P8" s="1">
        <v>0.4168</v>
      </c>
      <c r="Q8" s="1">
        <v>5.8999999999999999E-3</v>
      </c>
      <c r="R8" s="1"/>
      <c r="S8" s="1"/>
    </row>
    <row r="9" spans="1:19">
      <c r="A9" s="1" t="s">
        <v>37</v>
      </c>
      <c r="B9" s="1" t="s">
        <v>38</v>
      </c>
      <c r="C9" s="5" t="s">
        <v>69</v>
      </c>
      <c r="D9" s="1" t="s">
        <v>65</v>
      </c>
      <c r="E9" s="5" t="s">
        <v>70</v>
      </c>
      <c r="F9" s="5" t="s">
        <v>22</v>
      </c>
      <c r="G9" s="1">
        <v>296</v>
      </c>
      <c r="H9" s="5" t="s">
        <v>23</v>
      </c>
      <c r="I9" s="1">
        <v>0</v>
      </c>
      <c r="J9" s="1">
        <v>0.51400000000000001</v>
      </c>
      <c r="K9" s="1"/>
      <c r="L9" s="1">
        <v>420</v>
      </c>
      <c r="M9" s="1">
        <v>-5.8999999999999998E-5</v>
      </c>
      <c r="N9" s="1">
        <v>0.14680000000000001</v>
      </c>
      <c r="O9" s="1">
        <v>0.85399999999999998</v>
      </c>
      <c r="P9" s="1">
        <v>0.17860000000000001</v>
      </c>
      <c r="Q9" s="1">
        <v>-5.1000000000000004E-4</v>
      </c>
      <c r="R9" s="5" t="s">
        <v>71</v>
      </c>
      <c r="S9" s="5" t="s">
        <v>72</v>
      </c>
    </row>
    <row r="10" spans="1:19">
      <c r="A10" s="1" t="s">
        <v>39</v>
      </c>
      <c r="B10" s="1" t="s">
        <v>40</v>
      </c>
      <c r="C10" s="5" t="s">
        <v>73</v>
      </c>
      <c r="D10" s="5" t="s">
        <v>21</v>
      </c>
      <c r="E10" s="5" t="s">
        <v>74</v>
      </c>
      <c r="F10" s="5" t="s">
        <v>22</v>
      </c>
      <c r="G10" s="1">
        <v>296</v>
      </c>
      <c r="H10" s="1">
        <v>180</v>
      </c>
      <c r="I10" s="1">
        <v>5.6000000000000001E-2</v>
      </c>
      <c r="J10" s="1">
        <v>0.14899999999999999</v>
      </c>
      <c r="K10" s="1">
        <v>0.37</v>
      </c>
      <c r="L10" s="1">
        <v>448</v>
      </c>
      <c r="M10" s="1">
        <v>-2.9999999999999997E-4</v>
      </c>
      <c r="N10" s="1">
        <v>0.24299999999999999</v>
      </c>
      <c r="O10" s="1">
        <v>0.85340000000000005</v>
      </c>
      <c r="P10" s="1">
        <v>0.2843</v>
      </c>
      <c r="Q10" s="1">
        <v>-2.5999999999999999E-3</v>
      </c>
      <c r="R10" s="5" t="s">
        <v>75</v>
      </c>
      <c r="S10" s="5" t="s">
        <v>72</v>
      </c>
    </row>
    <row r="11" spans="1:19">
      <c r="A11" s="1" t="s">
        <v>39</v>
      </c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 t="s">
        <v>29</v>
      </c>
      <c r="B12" s="1" t="s">
        <v>42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 t="s">
        <v>26</v>
      </c>
      <c r="B13" s="1"/>
      <c r="C13" s="5" t="s">
        <v>76</v>
      </c>
      <c r="D13" s="5" t="s">
        <v>21</v>
      </c>
      <c r="E13" s="5" t="s">
        <v>77</v>
      </c>
      <c r="F13" s="5" t="s">
        <v>22</v>
      </c>
      <c r="G13" s="1">
        <v>296</v>
      </c>
      <c r="H13" s="1">
        <v>150</v>
      </c>
      <c r="I13" s="1">
        <v>5.7000000000000002E-2</v>
      </c>
      <c r="J13" s="1">
        <v>0.28799999999999998</v>
      </c>
      <c r="K13" s="1">
        <v>0.19700000000000001</v>
      </c>
      <c r="L13" s="1">
        <v>627</v>
      </c>
      <c r="M13" s="1">
        <v>1.2999999999999999E-4</v>
      </c>
      <c r="N13" s="1">
        <v>0.30159999999999998</v>
      </c>
      <c r="O13" s="1">
        <v>0.91830000000000001</v>
      </c>
      <c r="P13" s="1">
        <v>0.3306</v>
      </c>
      <c r="Q13" s="1">
        <v>-2.9999999999999997E-4</v>
      </c>
      <c r="R13" s="5" t="s">
        <v>28</v>
      </c>
      <c r="S13" s="5" t="s">
        <v>72</v>
      </c>
    </row>
    <row r="14" spans="1:19">
      <c r="A14" s="1" t="s">
        <v>43</v>
      </c>
      <c r="B14" s="1" t="s">
        <v>44</v>
      </c>
      <c r="C14" s="5" t="s">
        <v>78</v>
      </c>
      <c r="D14" s="5" t="s">
        <v>21</v>
      </c>
      <c r="E14" s="5" t="s">
        <v>79</v>
      </c>
      <c r="F14" s="5" t="s">
        <v>22</v>
      </c>
      <c r="G14" s="1">
        <v>296</v>
      </c>
      <c r="H14" s="1">
        <v>150</v>
      </c>
      <c r="I14" s="1">
        <v>7.9000000000000001E-2</v>
      </c>
      <c r="J14" s="1">
        <v>0.23799999999999999</v>
      </c>
      <c r="K14" s="1">
        <v>0.33</v>
      </c>
      <c r="L14" s="1">
        <v>514</v>
      </c>
      <c r="M14" s="1">
        <v>7.9000000000000001E-4</v>
      </c>
      <c r="N14" s="1">
        <v>0.35020000000000001</v>
      </c>
      <c r="O14" s="1">
        <v>0.96609999999999996</v>
      </c>
      <c r="P14" s="1">
        <v>0.36220000000000002</v>
      </c>
      <c r="Q14" s="1">
        <v>9.8999999999999994E-5</v>
      </c>
      <c r="R14" s="5" t="s">
        <v>80</v>
      </c>
      <c r="S14" s="5" t="s">
        <v>72</v>
      </c>
    </row>
    <row r="15" spans="1:19">
      <c r="A15" s="1" t="s">
        <v>24</v>
      </c>
      <c r="B15" s="1" t="s">
        <v>45</v>
      </c>
      <c r="C15" s="5" t="s">
        <v>81</v>
      </c>
      <c r="D15" s="5" t="s">
        <v>21</v>
      </c>
      <c r="E15" s="5" t="s">
        <v>82</v>
      </c>
      <c r="F15" s="5" t="s">
        <v>22</v>
      </c>
      <c r="G15" s="1">
        <v>334</v>
      </c>
      <c r="H15" s="1">
        <v>200</v>
      </c>
      <c r="I15" s="1">
        <v>8.5000000000000006E-2</v>
      </c>
      <c r="J15" s="1">
        <v>0.439</v>
      </c>
      <c r="K15" s="1">
        <v>0.19400000000000001</v>
      </c>
      <c r="L15" s="1">
        <v>253</v>
      </c>
      <c r="M15" s="1">
        <v>-1.8000000000000001E-4</v>
      </c>
      <c r="N15" s="1">
        <v>0.41299999999999998</v>
      </c>
      <c r="O15" s="1">
        <v>1.0669999999999999</v>
      </c>
      <c r="P15" s="1">
        <v>0.38669999999999999</v>
      </c>
      <c r="Q15" s="1">
        <v>-1.6000000000000001E-3</v>
      </c>
      <c r="R15" s="5" t="s">
        <v>83</v>
      </c>
      <c r="S15" s="5" t="s">
        <v>84</v>
      </c>
    </row>
    <row r="16" spans="1:19">
      <c r="A16" s="1" t="s">
        <v>24</v>
      </c>
      <c r="B16" s="1" t="s">
        <v>45</v>
      </c>
      <c r="C16" s="5" t="s">
        <v>85</v>
      </c>
      <c r="D16" s="1" t="s">
        <v>56</v>
      </c>
      <c r="E16" s="5"/>
      <c r="F16" s="5" t="s">
        <v>22</v>
      </c>
      <c r="H16" s="1">
        <v>200</v>
      </c>
      <c r="I16" s="6">
        <v>7.9000000000000001E-2</v>
      </c>
      <c r="J16" s="6">
        <v>0.42699999999999999</v>
      </c>
      <c r="K16" s="6">
        <v>0.185</v>
      </c>
      <c r="L16" s="6">
        <v>253</v>
      </c>
      <c r="M16" s="6">
        <v>-2.9999999999999997E-4</v>
      </c>
      <c r="N16" s="6">
        <v>0.41039999999999999</v>
      </c>
      <c r="O16" s="6">
        <v>1.17</v>
      </c>
      <c r="P16" s="6">
        <v>0.35039999999999999</v>
      </c>
      <c r="Q16" s="6">
        <v>-8.0000000000000004E-4</v>
      </c>
      <c r="R16" s="1"/>
      <c r="S16" s="1"/>
    </row>
    <row r="17" spans="1:19">
      <c r="A17" s="1" t="s">
        <v>46</v>
      </c>
      <c r="B17" s="1" t="s">
        <v>47</v>
      </c>
      <c r="C17" s="5" t="s">
        <v>87</v>
      </c>
      <c r="D17" s="5" t="s">
        <v>21</v>
      </c>
      <c r="E17" s="5" t="s">
        <v>86</v>
      </c>
      <c r="F17" s="5" t="s">
        <v>22</v>
      </c>
      <c r="G17" s="1">
        <v>300</v>
      </c>
      <c r="H17" s="1">
        <v>200</v>
      </c>
      <c r="I17" s="1">
        <v>1.8499999999999999E-2</v>
      </c>
      <c r="J17" s="1">
        <v>0.76480000000000004</v>
      </c>
      <c r="K17" s="1">
        <v>2.4E-2</v>
      </c>
      <c r="L17" s="1">
        <v>447</v>
      </c>
      <c r="M17" s="1">
        <v>1.6000000000000001E-3</v>
      </c>
      <c r="N17" s="1">
        <v>0.30570000000000003</v>
      </c>
      <c r="O17" s="1">
        <v>0.88160000000000005</v>
      </c>
      <c r="P17" s="1">
        <v>0.34770000000000001</v>
      </c>
      <c r="Q17" s="1">
        <v>2.7E-4</v>
      </c>
      <c r="R17" s="5" t="s">
        <v>88</v>
      </c>
      <c r="S17" s="1"/>
    </row>
    <row r="18" spans="1:19">
      <c r="A18" s="1" t="s">
        <v>46</v>
      </c>
      <c r="B18" s="1" t="s">
        <v>47</v>
      </c>
      <c r="C18" s="5" t="s">
        <v>89</v>
      </c>
      <c r="D18" s="1" t="s">
        <v>63</v>
      </c>
      <c r="E18" s="1"/>
      <c r="F18" s="5" t="s">
        <v>22</v>
      </c>
      <c r="G18" s="1"/>
      <c r="H18" s="1">
        <v>200</v>
      </c>
      <c r="I18" s="1">
        <v>0</v>
      </c>
      <c r="J18" s="1">
        <v>0.76600000000000001</v>
      </c>
      <c r="K18" s="1">
        <v>4.0000000000000001E-3</v>
      </c>
      <c r="L18" s="1">
        <v>447</v>
      </c>
      <c r="M18" s="1">
        <v>4.0000000000000001E-3</v>
      </c>
      <c r="N18" s="1">
        <v>0.30270000000000002</v>
      </c>
      <c r="O18" s="1">
        <v>0.70299999999999996</v>
      </c>
      <c r="P18" s="1">
        <v>0.43180000000000002</v>
      </c>
      <c r="Q18" s="1">
        <v>5.7999999999999996E-3</v>
      </c>
      <c r="R18" s="1"/>
      <c r="S18" s="1"/>
    </row>
    <row r="19" spans="1:19">
      <c r="A19" s="5" t="s">
        <v>43</v>
      </c>
      <c r="B19" s="5" t="s">
        <v>97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8" spans="1:19">
      <c r="A28" s="4" t="s">
        <v>20</v>
      </c>
      <c r="B28" t="s">
        <v>90</v>
      </c>
      <c r="C28" t="s">
        <v>9</v>
      </c>
      <c r="D28" t="s">
        <v>91</v>
      </c>
      <c r="E28" t="s">
        <v>14</v>
      </c>
      <c r="F28" t="s">
        <v>92</v>
      </c>
      <c r="H28">
        <v>3</v>
      </c>
      <c r="I28">
        <v>2</v>
      </c>
      <c r="J28">
        <v>1</v>
      </c>
      <c r="K28">
        <v>0</v>
      </c>
      <c r="L28" t="s">
        <v>93</v>
      </c>
      <c r="M28" t="s">
        <v>94</v>
      </c>
      <c r="N28" s="1"/>
      <c r="O28" s="1"/>
      <c r="P28" s="1"/>
      <c r="Q28" s="1"/>
      <c r="R28" s="1"/>
      <c r="S28" s="1"/>
    </row>
    <row r="29" spans="1:19">
      <c r="A29" s="1" t="s">
        <v>32</v>
      </c>
      <c r="B29" s="1">
        <v>36</v>
      </c>
      <c r="C29" s="1">
        <v>0.28560999999999998</v>
      </c>
      <c r="D29" s="1">
        <v>1.68</v>
      </c>
      <c r="E29" s="1">
        <v>0.46679999999999999</v>
      </c>
      <c r="F29" s="1"/>
      <c r="G29" s="1">
        <v>71</v>
      </c>
      <c r="H29" s="1">
        <v>26</v>
      </c>
      <c r="I29" s="1">
        <v>81</v>
      </c>
      <c r="J29" s="1">
        <v>44</v>
      </c>
      <c r="K29" s="1">
        <v>0</v>
      </c>
      <c r="L29" s="1">
        <v>151</v>
      </c>
      <c r="M29" s="1">
        <v>1.94</v>
      </c>
      <c r="N29" s="1"/>
      <c r="O29" s="1"/>
      <c r="P29" s="1"/>
      <c r="Q29" s="1"/>
      <c r="R29" s="1"/>
      <c r="S29" s="1"/>
    </row>
    <row r="30" spans="1:19">
      <c r="A30" s="1" t="s">
        <v>42</v>
      </c>
      <c r="B30" s="1"/>
      <c r="C30" s="1"/>
      <c r="D30" s="1"/>
      <c r="E30" s="1"/>
      <c r="F30" s="1"/>
      <c r="G30" s="1">
        <v>20</v>
      </c>
      <c r="H30" s="1">
        <v>36</v>
      </c>
      <c r="I30" s="1">
        <v>110</v>
      </c>
      <c r="J30" s="1">
        <v>446</v>
      </c>
      <c r="K30" s="1">
        <v>153</v>
      </c>
      <c r="L30" s="1">
        <v>745</v>
      </c>
      <c r="M30" s="1">
        <v>1.05</v>
      </c>
      <c r="N30" s="1"/>
      <c r="O30" s="1"/>
      <c r="P30" s="1"/>
      <c r="Q30" s="1"/>
      <c r="R30" s="1"/>
      <c r="S30" s="1"/>
    </row>
    <row r="31" spans="1:19">
      <c r="A31" s="5" t="s">
        <v>98</v>
      </c>
      <c r="B31" s="1"/>
      <c r="C31" s="1"/>
      <c r="D31" s="1"/>
      <c r="E31" s="1"/>
      <c r="F31" s="1"/>
      <c r="G31" s="1">
        <v>87</v>
      </c>
      <c r="H31" s="1">
        <v>217</v>
      </c>
      <c r="I31" s="1">
        <v>68</v>
      </c>
      <c r="J31" s="1">
        <v>44</v>
      </c>
      <c r="K31" s="1">
        <v>0</v>
      </c>
      <c r="L31">
        <v>329</v>
      </c>
      <c r="M31">
        <v>2.5299999999999998</v>
      </c>
    </row>
    <row r="32" spans="1:19">
      <c r="A32" s="4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6" spans="1:13">
      <c r="A36" s="4" t="s">
        <v>31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3">
      <c r="A37" s="1" t="s">
        <v>34</v>
      </c>
      <c r="B37" s="1">
        <v>90.9</v>
      </c>
      <c r="C37" s="1">
        <v>8.4699999999999998E-2</v>
      </c>
      <c r="D37" s="1">
        <v>0.22</v>
      </c>
      <c r="E37" s="1">
        <v>0.28039999999999998</v>
      </c>
      <c r="F37" s="1"/>
      <c r="G37" s="1">
        <v>63</v>
      </c>
      <c r="H37" s="1">
        <v>49</v>
      </c>
      <c r="I37" s="1">
        <v>191</v>
      </c>
      <c r="J37" s="1">
        <v>142</v>
      </c>
      <c r="K37" s="1">
        <v>0</v>
      </c>
      <c r="L37" s="6">
        <v>382</v>
      </c>
      <c r="M37" s="6">
        <v>1.76</v>
      </c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40" spans="1:13">
      <c r="A40" s="4" t="s">
        <v>28</v>
      </c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35</v>
      </c>
      <c r="B41" s="1">
        <v>170.9</v>
      </c>
      <c r="C41" s="1">
        <v>0.13395000000000001</v>
      </c>
      <c r="D41" s="1">
        <v>0.4</v>
      </c>
      <c r="E41" s="1">
        <v>0.37890000000000001</v>
      </c>
      <c r="F41" s="1"/>
      <c r="G41" s="1">
        <f>((115+15)/391)*100</f>
        <v>33.248081841432224</v>
      </c>
      <c r="H41" s="1">
        <v>15</v>
      </c>
      <c r="I41" s="1">
        <v>115</v>
      </c>
      <c r="J41" s="1">
        <v>240</v>
      </c>
      <c r="K41" s="1">
        <v>21</v>
      </c>
      <c r="L41">
        <v>391</v>
      </c>
      <c r="M41">
        <f>1*(240/391)+2*(115/391)+3*(15/391)</f>
        <v>1.3171355498721229</v>
      </c>
    </row>
    <row r="42" spans="1:13">
      <c r="A42" s="1" t="s">
        <v>41</v>
      </c>
      <c r="B42" s="1"/>
      <c r="C42" s="1"/>
      <c r="D42" s="1"/>
      <c r="E42" s="1"/>
      <c r="F42" s="1"/>
      <c r="G42" s="1">
        <v>100</v>
      </c>
      <c r="H42" s="1">
        <v>311</v>
      </c>
      <c r="I42" s="1">
        <v>137</v>
      </c>
      <c r="J42" s="1">
        <v>0</v>
      </c>
      <c r="K42" s="1">
        <v>0</v>
      </c>
      <c r="L42">
        <v>448</v>
      </c>
      <c r="M42" s="6">
        <v>2.69</v>
      </c>
    </row>
    <row r="43" spans="1:13">
      <c r="A43" s="1" t="s">
        <v>44</v>
      </c>
      <c r="B43" s="1">
        <v>150</v>
      </c>
      <c r="C43" s="1">
        <v>7.9000000000000001E-2</v>
      </c>
      <c r="D43" s="1">
        <v>0.33</v>
      </c>
      <c r="E43" s="1">
        <v>0.35020000000000001</v>
      </c>
      <c r="F43" s="1"/>
      <c r="G43" s="1">
        <v>34</v>
      </c>
      <c r="H43" s="1">
        <v>34</v>
      </c>
      <c r="I43" s="1">
        <v>139</v>
      </c>
      <c r="J43" s="1">
        <v>334</v>
      </c>
      <c r="K43" s="1">
        <v>7</v>
      </c>
      <c r="L43">
        <v>514</v>
      </c>
      <c r="M43" s="6">
        <v>1.4</v>
      </c>
    </row>
    <row r="44" spans="1:13">
      <c r="A44" s="1" t="s">
        <v>45</v>
      </c>
      <c r="B44" s="1">
        <v>200</v>
      </c>
      <c r="C44" s="1">
        <v>8.5000000000000006E-2</v>
      </c>
      <c r="D44" s="1">
        <v>0.19400000000000001</v>
      </c>
      <c r="E44" s="1">
        <v>0.41299999999999998</v>
      </c>
      <c r="F44" s="1"/>
      <c r="G44" s="1">
        <v>73.5</v>
      </c>
      <c r="H44" s="1">
        <v>32</v>
      </c>
      <c r="I44" s="1">
        <v>154</v>
      </c>
      <c r="J44" s="1">
        <v>60</v>
      </c>
      <c r="K44" s="1">
        <v>7</v>
      </c>
      <c r="L44">
        <v>253</v>
      </c>
      <c r="M44">
        <v>1.85</v>
      </c>
    </row>
    <row r="45" spans="1:13">
      <c r="A45" s="5" t="s">
        <v>96</v>
      </c>
      <c r="G45" s="7">
        <v>99</v>
      </c>
      <c r="H45" s="7">
        <v>329</v>
      </c>
      <c r="I45" s="7">
        <v>186</v>
      </c>
      <c r="J45" s="7">
        <v>3</v>
      </c>
      <c r="K45" s="7">
        <v>0</v>
      </c>
      <c r="L45">
        <v>518</v>
      </c>
      <c r="M45" s="7">
        <v>2.63</v>
      </c>
    </row>
    <row r="46" spans="1:13">
      <c r="A46" s="6" t="s">
        <v>26</v>
      </c>
      <c r="G46" s="7">
        <v>87</v>
      </c>
      <c r="H46" s="7">
        <v>367</v>
      </c>
      <c r="I46" s="7">
        <v>182</v>
      </c>
      <c r="J46" s="7">
        <v>84</v>
      </c>
      <c r="K46" s="7">
        <v>0</v>
      </c>
      <c r="L46">
        <v>633</v>
      </c>
      <c r="M46">
        <v>2.4500000000000002</v>
      </c>
    </row>
    <row r="47" spans="1:13">
      <c r="A47" s="6" t="s">
        <v>99</v>
      </c>
      <c r="G47" s="7">
        <v>89</v>
      </c>
      <c r="H47" s="7">
        <v>100</v>
      </c>
      <c r="I47" s="7">
        <v>286</v>
      </c>
      <c r="J47" s="7">
        <v>48</v>
      </c>
      <c r="K47" s="7">
        <v>0</v>
      </c>
      <c r="L47">
        <v>434</v>
      </c>
      <c r="M47" s="7">
        <v>2.12</v>
      </c>
    </row>
    <row r="48" spans="1:13">
      <c r="A48" s="6" t="s">
        <v>100</v>
      </c>
      <c r="G48" s="7">
        <v>73</v>
      </c>
      <c r="H48" s="7">
        <v>0</v>
      </c>
      <c r="I48" s="7">
        <v>205</v>
      </c>
      <c r="J48" s="7">
        <v>71</v>
      </c>
      <c r="K48" s="7">
        <v>4</v>
      </c>
      <c r="L48">
        <v>280</v>
      </c>
      <c r="M48">
        <v>1.71</v>
      </c>
    </row>
    <row r="49" spans="1:13">
      <c r="A49" s="5" t="s">
        <v>101</v>
      </c>
      <c r="B49" s="1"/>
      <c r="C49" s="1"/>
      <c r="D49" s="1"/>
      <c r="G49" s="7">
        <v>20</v>
      </c>
      <c r="H49" s="7">
        <v>37</v>
      </c>
      <c r="I49" s="7">
        <v>55</v>
      </c>
      <c r="J49" s="7">
        <v>293</v>
      </c>
      <c r="K49" s="7">
        <v>78</v>
      </c>
      <c r="L49">
        <v>463</v>
      </c>
      <c r="M49" s="7">
        <v>1.1000000000000001</v>
      </c>
    </row>
    <row r="51" spans="1:13">
      <c r="A51" s="4" t="s">
        <v>30</v>
      </c>
      <c r="B51" s="1"/>
      <c r="C51" s="1"/>
      <c r="D51" s="1"/>
    </row>
    <row r="52" spans="1:13">
      <c r="A52" s="1" t="s">
        <v>36</v>
      </c>
      <c r="B52" s="1">
        <v>167.6</v>
      </c>
      <c r="C52" s="1">
        <v>0.158</v>
      </c>
      <c r="D52" s="1">
        <v>1.6</v>
      </c>
      <c r="E52" s="1">
        <v>0.40870000000000001</v>
      </c>
      <c r="G52" s="6">
        <v>98</v>
      </c>
      <c r="H52">
        <v>224</v>
      </c>
      <c r="I52">
        <v>382</v>
      </c>
      <c r="J52">
        <v>11</v>
      </c>
      <c r="K52">
        <v>0</v>
      </c>
      <c r="L52">
        <v>617</v>
      </c>
      <c r="M52">
        <v>2.34</v>
      </c>
    </row>
    <row r="55" spans="1:13">
      <c r="A55" s="4" t="s">
        <v>95</v>
      </c>
      <c r="B55" s="1"/>
      <c r="C55" s="1"/>
      <c r="D55" s="1"/>
    </row>
    <row r="56" spans="1:13">
      <c r="A56" s="1" t="s">
        <v>38</v>
      </c>
      <c r="B56" s="1">
        <v>296</v>
      </c>
      <c r="C56" s="1">
        <v>0</v>
      </c>
      <c r="D56" s="1"/>
      <c r="E56" s="1">
        <v>0.14680000000000001</v>
      </c>
      <c r="G56" s="6">
        <v>58</v>
      </c>
      <c r="H56">
        <v>238</v>
      </c>
      <c r="I56">
        <v>8</v>
      </c>
      <c r="J56">
        <v>171</v>
      </c>
      <c r="K56">
        <v>3</v>
      </c>
      <c r="L56">
        <v>420</v>
      </c>
      <c r="M56">
        <v>2.14</v>
      </c>
    </row>
    <row r="57" spans="1:13">
      <c r="A57" s="1" t="s">
        <v>47</v>
      </c>
      <c r="B57" s="1">
        <v>200</v>
      </c>
      <c r="C57" s="1">
        <v>1.8499999999999999E-2</v>
      </c>
      <c r="D57" s="1">
        <v>2.4E-2</v>
      </c>
      <c r="E57" s="1">
        <v>0.30570000000000003</v>
      </c>
      <c r="G57" s="6">
        <v>39</v>
      </c>
      <c r="H57" s="6">
        <v>127</v>
      </c>
      <c r="I57">
        <v>48</v>
      </c>
      <c r="J57">
        <v>151</v>
      </c>
      <c r="K57">
        <v>121</v>
      </c>
      <c r="L57">
        <v>447</v>
      </c>
      <c r="M57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Faculty of Agriculture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st_admin</cp:lastModifiedBy>
  <dcterms:created xsi:type="dcterms:W3CDTF">2012-02-06T07:55:46Z</dcterms:created>
  <dcterms:modified xsi:type="dcterms:W3CDTF">2012-02-07T19:27:12Z</dcterms:modified>
</cp:coreProperties>
</file>