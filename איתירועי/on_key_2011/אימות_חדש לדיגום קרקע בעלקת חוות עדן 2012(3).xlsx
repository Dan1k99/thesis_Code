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4880" windowHeight="8445" activeTab="1"/>
  </bookViews>
  <sheets>
    <sheet name="biotest_aleket" sheetId="1" r:id="rId1"/>
    <sheet name="biotest_analizise" sheetId="2" r:id="rId2"/>
  </sheets>
  <definedNames>
    <definedName name="_xlnm._FilterDatabase" localSheetId="0" hidden="1">biotest_aleket!$B$5:$M$54</definedName>
    <definedName name="_xlnm._FilterDatabase" localSheetId="1" hidden="1">biotest_analizise!$A$1:$C$33</definedName>
  </definedNames>
  <calcPr calcId="125725"/>
</workbook>
</file>

<file path=xl/calcChain.xml><?xml version="1.0" encoding="utf-8"?>
<calcChain xmlns="http://schemas.openxmlformats.org/spreadsheetml/2006/main">
  <c r="L39" i="1"/>
  <c r="L36"/>
  <c r="G14" i="2"/>
  <c r="G13"/>
  <c r="G11"/>
  <c r="G10"/>
  <c r="G9"/>
  <c r="G7"/>
  <c r="G6"/>
  <c r="G5"/>
  <c r="L53" i="1"/>
  <c r="L52"/>
  <c r="L51"/>
  <c r="L50"/>
  <c r="L49"/>
  <c r="L48"/>
  <c r="L47"/>
  <c r="L46"/>
  <c r="L45"/>
  <c r="L44"/>
  <c r="L43"/>
  <c r="L42"/>
  <c r="L41"/>
  <c r="L40"/>
  <c r="L38"/>
  <c r="L37"/>
  <c r="M53"/>
  <c r="L35"/>
  <c r="L34"/>
  <c r="L33"/>
  <c r="L32"/>
  <c r="L31"/>
  <c r="L30"/>
  <c r="L29"/>
  <c r="L28"/>
  <c r="L27"/>
  <c r="L26"/>
  <c r="L25"/>
  <c r="L24"/>
  <c r="L23"/>
  <c r="L22"/>
  <c r="L21"/>
  <c r="L20"/>
  <c r="M35" s="1"/>
  <c r="L19"/>
  <c r="L18"/>
  <c r="L17"/>
  <c r="L16"/>
  <c r="L15"/>
  <c r="L14"/>
  <c r="L13"/>
  <c r="L12"/>
  <c r="L11"/>
  <c r="L10"/>
  <c r="L9"/>
  <c r="L8"/>
  <c r="M19" s="1"/>
  <c r="L7"/>
  <c r="L6"/>
  <c r="G4" i="2"/>
</calcChain>
</file>

<file path=xl/sharedStrings.xml><?xml version="1.0" encoding="utf-8"?>
<sst xmlns="http://schemas.openxmlformats.org/spreadsheetml/2006/main" count="182" uniqueCount="69">
  <si>
    <t>שתילת עגבניות בריוויונים : 27.12.11</t>
  </si>
  <si>
    <t>מס' עציץ</t>
  </si>
  <si>
    <t>ה-1</t>
  </si>
  <si>
    <t>ה-2</t>
  </si>
  <si>
    <t>ה-3</t>
  </si>
  <si>
    <t>ה-4</t>
  </si>
  <si>
    <t>ה-5</t>
  </si>
  <si>
    <t>ה-6</t>
  </si>
  <si>
    <t>ה-7</t>
  </si>
  <si>
    <t>ה-8</t>
  </si>
  <si>
    <t>ה-9</t>
  </si>
  <si>
    <t>ה-10</t>
  </si>
  <si>
    <t>ה-11</t>
  </si>
  <si>
    <t>ה-13</t>
  </si>
  <si>
    <t>ה-15</t>
  </si>
  <si>
    <t>ה-16</t>
  </si>
  <si>
    <t>ו-1</t>
  </si>
  <si>
    <t>ו-2</t>
  </si>
  <si>
    <t>ו-3</t>
  </si>
  <si>
    <t>ו-4</t>
  </si>
  <si>
    <t>ו-5</t>
  </si>
  <si>
    <t>ו-6</t>
  </si>
  <si>
    <t>ו-7</t>
  </si>
  <si>
    <t>ו-8</t>
  </si>
  <si>
    <t>ו-9</t>
  </si>
  <si>
    <t>ו-10</t>
  </si>
  <si>
    <t>ו-11</t>
  </si>
  <si>
    <t>ו-12</t>
  </si>
  <si>
    <t>ו-13</t>
  </si>
  <si>
    <t>ו-14</t>
  </si>
  <si>
    <t>ו-15</t>
  </si>
  <si>
    <t>ו-16</t>
  </si>
  <si>
    <t>מס' חזרות</t>
  </si>
  <si>
    <t>ה-1-12</t>
  </si>
  <si>
    <t>ה-2-12</t>
  </si>
  <si>
    <t>ו-17</t>
  </si>
  <si>
    <t>ו-18</t>
  </si>
  <si>
    <t>מס' עציצים עם עלקות (ימים משתילה)</t>
  </si>
  <si>
    <t>51-16.2.12</t>
  </si>
  <si>
    <t>54-19.2.12</t>
  </si>
  <si>
    <t>68-4.3.12</t>
  </si>
  <si>
    <t>64-29.2.12</t>
  </si>
  <si>
    <t>76-12.3.13</t>
  </si>
  <si>
    <t>84-20.3.14</t>
  </si>
  <si>
    <t>טיפול/תצפית</t>
  </si>
  <si>
    <t>חזרה</t>
  </si>
  <si>
    <t>B</t>
  </si>
  <si>
    <t>A</t>
  </si>
  <si>
    <t>D</t>
  </si>
  <si>
    <t>C</t>
  </si>
  <si>
    <t>E</t>
  </si>
  <si>
    <t>a</t>
  </si>
  <si>
    <t>d</t>
  </si>
  <si>
    <t>c</t>
  </si>
  <si>
    <t>b</t>
  </si>
  <si>
    <t>e</t>
  </si>
  <si>
    <t>טיפול</t>
  </si>
  <si>
    <t>מס.דגימה</t>
  </si>
  <si>
    <t>מס.עלקת</t>
  </si>
  <si>
    <t>2011(בקיה)</t>
  </si>
  <si>
    <t>אינדקס נגיעות</t>
  </si>
  <si>
    <t>טיפול בקיה-20ppm</t>
  </si>
  <si>
    <t>טיפול בקיה-10ppm</t>
  </si>
  <si>
    <t>D(20ppm)</t>
  </si>
  <si>
    <t>E(10ppm)</t>
  </si>
  <si>
    <t>אחוזי נביטה</t>
  </si>
  <si>
    <t>ממוצע אחוזי נביטה של דגימות 1-10</t>
  </si>
  <si>
    <t>ממוצע אחוזי נביטה של דגימות ה:1 - ה:16</t>
  </si>
  <si>
    <t>ממוצע אחוזי נביטה של דגימות ו:1 - ו:18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</si>
</sst>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sz val="12"/>
      <color theme="7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5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5" xfId="0" applyNumberFormat="1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5" xfId="0" applyNumberFormat="1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2" fillId="0" borderId="15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3" fillId="0" borderId="13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5" xfId="0" applyFont="1" applyBorder="1" applyAlignment="1">
      <alignment horizontal="center"/>
    </xf>
    <xf numFmtId="0" fontId="14" fillId="0" borderId="15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5" fillId="0" borderId="19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7" fillId="0" borderId="15" xfId="0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20" fillId="0" borderId="9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20" fillId="0" borderId="7" xfId="0" applyFont="1" applyBorder="1" applyAlignment="1">
      <alignment horizontal="center" vertical="center" textRotation="90"/>
    </xf>
    <xf numFmtId="0" fontId="20" fillId="0" borderId="6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ctr">
              <a:defRPr sz="1200"/>
            </a:pPr>
            <a:r>
              <a:rPr lang="he-IL" sz="1200"/>
              <a:t>השוואה בין תצפיות בשדה למבחן</a:t>
            </a:r>
            <a:r>
              <a:rPr lang="he-IL" sz="1200" baseline="0"/>
              <a:t> ביולוגי:</a:t>
            </a:r>
          </a:p>
          <a:p>
            <a:pPr algn="ctr">
              <a:defRPr sz="1200"/>
            </a:pPr>
            <a:r>
              <a:rPr lang="he-IL" sz="1200" baseline="0"/>
              <a:t>חוות עדן חלקה ב(גידול עג"ת 2010)</a:t>
            </a:r>
            <a:endParaRPr lang="he-IL" sz="1200"/>
          </a:p>
        </c:rich>
      </c:tx>
      <c:layout>
        <c:manualLayout>
          <c:xMode val="edge"/>
          <c:yMode val="edge"/>
          <c:x val="0.3290693350831147"/>
          <c:y val="2.7777777777777801E-2"/>
        </c:manualLayout>
      </c:layout>
    </c:title>
    <c:view3D>
      <c:rotY val="340"/>
      <c:rAngAx val="1"/>
    </c:view3D>
    <c:plotArea>
      <c:layout/>
      <c:bar3DChart>
        <c:barDir val="col"/>
        <c:grouping val="clustered"/>
        <c:ser>
          <c:idx val="0"/>
          <c:order val="0"/>
          <c:tx>
            <c:v>מס. צמחי עלקת</c:v>
          </c:tx>
          <c:spPr>
            <a:solidFill>
              <a:schemeClr val="accent2"/>
            </a:solidFill>
          </c:spPr>
          <c:cat>
            <c:strRef>
              <c:f>biotest_analizise!$F$4:$F$7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biotest_analizise!$G$4:$G$7</c:f>
              <c:numCache>
                <c:formatCode>General</c:formatCode>
                <c:ptCount val="4"/>
                <c:pt idx="0">
                  <c:v>0.25</c:v>
                </c:pt>
                <c:pt idx="1">
                  <c:v>1.5</c:v>
                </c:pt>
                <c:pt idx="2">
                  <c:v>2.6666666666666665</c:v>
                </c:pt>
                <c:pt idx="3">
                  <c:v>4.666666666666667</c:v>
                </c:pt>
              </c:numCache>
            </c:numRef>
          </c:val>
        </c:ser>
        <c:shape val="box"/>
        <c:axId val="115032448"/>
        <c:axId val="115034368"/>
        <c:axId val="0"/>
      </c:bar3DChart>
      <c:catAx>
        <c:axId val="1150324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he-IL"/>
                  <a:t>תצפיות עלקת על-פי אינדקס נגיעות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15034368"/>
        <c:crosses val="autoZero"/>
        <c:auto val="1"/>
        <c:lblAlgn val="ctr"/>
        <c:lblOffset val="100"/>
      </c:catAx>
      <c:valAx>
        <c:axId val="11503436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he-IL"/>
                  <a:t>מספר צמחי עלקת בעציץ</a:t>
                </a:r>
              </a:p>
            </c:rich>
          </c:tx>
          <c:layout/>
        </c:title>
        <c:numFmt formatCode="General" sourceLinked="1"/>
        <c:tickLblPos val="nextTo"/>
        <c:crossAx val="115032448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/>
            </a:pPr>
            <a:r>
              <a:rPr lang="he-IL" sz="1200"/>
              <a:t>השוואה בין תצפיות בשדה למבחן ביולוגי:</a:t>
            </a:r>
          </a:p>
          <a:p>
            <a:pPr>
              <a:defRPr sz="1200"/>
            </a:pPr>
            <a:r>
              <a:rPr lang="he-IL" sz="1200"/>
              <a:t>חוות עדן חלקה ג'(גידול עג"ת</a:t>
            </a:r>
            <a:r>
              <a:rPr lang="he-IL" sz="1200" baseline="0"/>
              <a:t> 2011)</a:t>
            </a:r>
            <a:endParaRPr lang="he-IL" sz="1200"/>
          </a:p>
        </c:rich>
      </c:tx>
      <c:layout>
        <c:manualLayout>
          <c:xMode val="edge"/>
          <c:yMode val="edge"/>
          <c:x val="0.21593964801551088"/>
          <c:y val="2.3557134769811552E-2"/>
        </c:manualLayout>
      </c:layout>
    </c:title>
    <c:view3D>
      <c:rotY val="340"/>
      <c:rAngAx val="1"/>
    </c:view3D>
    <c:plotArea>
      <c:layout/>
      <c:bar3DChart>
        <c:barDir val="col"/>
        <c:grouping val="clustered"/>
        <c:ser>
          <c:idx val="0"/>
          <c:order val="0"/>
          <c:tx>
            <c:v>מס.עלקת</c:v>
          </c:tx>
          <c:spPr>
            <a:solidFill>
              <a:srgbClr val="00B050"/>
            </a:solidFill>
          </c:spPr>
          <c:cat>
            <c:strRef>
              <c:f>biotest_analizise!$F$9:$F$11</c:f>
              <c:strCache>
                <c:ptCount val="3"/>
                <c:pt idx="0">
                  <c:v>B</c:v>
                </c:pt>
                <c:pt idx="1">
                  <c:v>C</c:v>
                </c:pt>
                <c:pt idx="2">
                  <c:v>D</c:v>
                </c:pt>
              </c:strCache>
            </c:strRef>
          </c:cat>
          <c:val>
            <c:numRef>
              <c:f>biotest_analizise!$G$9:$G$11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4.5</c:v>
                </c:pt>
              </c:numCache>
            </c:numRef>
          </c:val>
        </c:ser>
        <c:shape val="box"/>
        <c:axId val="120350208"/>
        <c:axId val="120352128"/>
        <c:axId val="0"/>
      </c:bar3DChart>
      <c:catAx>
        <c:axId val="1203502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he-IL"/>
                  <a:t>תצפיות על-פי אינדקס נגיעות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20352128"/>
        <c:crosses val="autoZero"/>
        <c:auto val="1"/>
        <c:lblAlgn val="ctr"/>
        <c:lblOffset val="100"/>
      </c:catAx>
      <c:valAx>
        <c:axId val="12035212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he-IL"/>
                  <a:t>מספר צמחי עלקת בעציץ</a:t>
                </a:r>
              </a:p>
            </c:rich>
          </c:tx>
          <c:layout/>
        </c:title>
        <c:numFmt formatCode="General" sourceLinked="1"/>
        <c:tickLblPos val="nextTo"/>
        <c:crossAx val="120350208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/>
            </a:pPr>
            <a:r>
              <a:rPr lang="he-IL" sz="1200"/>
              <a:t>השוואה בין טיפולי אילוח בבקיה למבחן ביולוגי: חוות עדן חלקה ג' (ניסוי בקיה 2011)</a:t>
            </a:r>
          </a:p>
        </c:rich>
      </c:tx>
      <c:layout/>
    </c:title>
    <c:view3D>
      <c:rotY val="340"/>
      <c:rAngAx val="1"/>
    </c:view3D>
    <c:plotArea>
      <c:layout/>
      <c:bar3DChart>
        <c:barDir val="col"/>
        <c:grouping val="clustered"/>
        <c:ser>
          <c:idx val="0"/>
          <c:order val="0"/>
          <c:tx>
            <c:v>מס. עלקת</c:v>
          </c:tx>
          <c:spPr>
            <a:solidFill>
              <a:schemeClr val="tx2">
                <a:lumMod val="75000"/>
              </a:schemeClr>
            </a:solidFill>
          </c:spPr>
          <c:cat>
            <c:strRef>
              <c:f>biotest_analizise!$F$13:$F$14</c:f>
              <c:strCache>
                <c:ptCount val="2"/>
                <c:pt idx="0">
                  <c:v>D(20ppm)</c:v>
                </c:pt>
                <c:pt idx="1">
                  <c:v>E(10ppm)</c:v>
                </c:pt>
              </c:strCache>
            </c:strRef>
          </c:cat>
          <c:val>
            <c:numRef>
              <c:f>biotest_analizise!$G$13:$G$14</c:f>
              <c:numCache>
                <c:formatCode>General</c:formatCode>
                <c:ptCount val="2"/>
                <c:pt idx="0">
                  <c:v>3.25</c:v>
                </c:pt>
                <c:pt idx="1">
                  <c:v>2.75</c:v>
                </c:pt>
              </c:numCache>
            </c:numRef>
          </c:val>
        </c:ser>
        <c:shape val="box"/>
        <c:axId val="197836160"/>
        <c:axId val="201815552"/>
        <c:axId val="0"/>
      </c:bar3DChart>
      <c:catAx>
        <c:axId val="1978361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he-IL"/>
                  <a:t>ריכוזי אילוח בניסוי בבקיה</a:t>
                </a:r>
              </a:p>
            </c:rich>
          </c:tx>
          <c:layout/>
        </c:title>
        <c:tickLblPos val="nextTo"/>
        <c:crossAx val="201815552"/>
        <c:crosses val="autoZero"/>
        <c:auto val="1"/>
        <c:lblAlgn val="ctr"/>
        <c:lblOffset val="100"/>
      </c:catAx>
      <c:valAx>
        <c:axId val="20181555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he-IL"/>
                  <a:t>מספר צמחי עלקת בעציץ</a:t>
                </a:r>
              </a:p>
            </c:rich>
          </c:tx>
          <c:layout/>
        </c:title>
        <c:numFmt formatCode="General" sourceLinked="1"/>
        <c:tickLblPos val="nextTo"/>
        <c:crossAx val="197836160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133349</xdr:colOff>
      <xdr:row>2</xdr:row>
      <xdr:rowOff>142874</xdr:rowOff>
    </xdr:from>
    <xdr:to>
      <xdr:col>17</xdr:col>
      <xdr:colOff>247650</xdr:colOff>
      <xdr:row>18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142875</xdr:colOff>
      <xdr:row>18</xdr:row>
      <xdr:rowOff>133350</xdr:rowOff>
    </xdr:from>
    <xdr:to>
      <xdr:col>17</xdr:col>
      <xdr:colOff>190500</xdr:colOff>
      <xdr:row>32</xdr:row>
      <xdr:rowOff>133349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571500</xdr:colOff>
      <xdr:row>19</xdr:row>
      <xdr:rowOff>47624</xdr:rowOff>
    </xdr:from>
    <xdr:to>
      <xdr:col>9</xdr:col>
      <xdr:colOff>457200</xdr:colOff>
      <xdr:row>32</xdr:row>
      <xdr:rowOff>123825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R54"/>
  <sheetViews>
    <sheetView topLeftCell="A19" workbookViewId="0">
      <selection activeCell="T24" sqref="T24"/>
    </sheetView>
  </sheetViews>
  <sheetFormatPr defaultColWidth="9" defaultRowHeight="15"/>
  <cols>
    <col min="1" max="1" width="9" style="2"/>
    <col min="2" max="2" width="10.5703125" style="1" customWidth="1"/>
    <col min="3" max="3" width="8.140625" style="1" customWidth="1"/>
    <col min="4" max="4" width="26.42578125" style="1" customWidth="1"/>
    <col min="5" max="7" width="10.5703125" style="1" customWidth="1"/>
    <col min="8" max="8" width="8.7109375" style="1" bestFit="1" customWidth="1"/>
    <col min="9" max="16384" width="9" style="1"/>
  </cols>
  <sheetData>
    <row r="2" spans="1:18" ht="15.75" thickBot="1">
      <c r="A2" s="74" t="s">
        <v>0</v>
      </c>
      <c r="B2" s="74"/>
      <c r="C2" s="74"/>
      <c r="D2" s="74"/>
      <c r="E2" s="74"/>
      <c r="F2" s="74"/>
      <c r="G2" s="74"/>
      <c r="H2" s="74"/>
      <c r="I2" s="74"/>
      <c r="J2" s="74"/>
      <c r="K2" s="74"/>
    </row>
    <row r="3" spans="1:18">
      <c r="A3" s="2" t="s">
        <v>45</v>
      </c>
      <c r="B3" s="2" t="s">
        <v>44</v>
      </c>
      <c r="C3" s="10" t="s">
        <v>1</v>
      </c>
      <c r="D3" s="55" t="s">
        <v>37</v>
      </c>
      <c r="E3" s="53"/>
      <c r="F3" s="53"/>
      <c r="G3" s="53"/>
      <c r="H3" s="53"/>
      <c r="I3" s="56"/>
      <c r="J3" s="56"/>
      <c r="K3" s="5" t="s">
        <v>32</v>
      </c>
    </row>
    <row r="4" spans="1:18" s="2" customFormat="1">
      <c r="C4" s="9"/>
      <c r="D4" s="57"/>
      <c r="E4" s="54"/>
      <c r="F4" s="54"/>
      <c r="G4" s="54"/>
      <c r="H4" s="54"/>
      <c r="I4" s="58"/>
      <c r="J4" s="58"/>
      <c r="K4" s="8"/>
    </row>
    <row r="5" spans="1:18" s="2" customFormat="1" ht="15.75" thickBot="1">
      <c r="C5" s="11"/>
      <c r="D5" s="12">
        <v>51</v>
      </c>
      <c r="E5" s="18">
        <v>54</v>
      </c>
      <c r="F5" s="24">
        <v>64</v>
      </c>
      <c r="G5" s="29">
        <v>68</v>
      </c>
      <c r="H5" s="36">
        <v>76</v>
      </c>
      <c r="I5" s="44">
        <v>84</v>
      </c>
      <c r="J5" s="60">
        <v>100</v>
      </c>
      <c r="K5" s="6"/>
      <c r="L5" s="2" t="s">
        <v>65</v>
      </c>
      <c r="O5" s="2" t="s">
        <v>38</v>
      </c>
    </row>
    <row r="6" spans="1:18" s="2" customFormat="1" ht="15.75" thickBot="1">
      <c r="A6" s="2" t="s">
        <v>51</v>
      </c>
      <c r="B6" s="2" t="s">
        <v>46</v>
      </c>
      <c r="C6" s="3">
        <v>1</v>
      </c>
      <c r="D6" s="13"/>
      <c r="E6" s="19"/>
      <c r="F6" s="25"/>
      <c r="G6" s="31"/>
      <c r="H6" s="37"/>
      <c r="I6" s="45"/>
      <c r="J6" s="61">
        <v>0</v>
      </c>
      <c r="K6" s="71">
        <v>5</v>
      </c>
      <c r="L6" s="67">
        <f>J6/K6*100</f>
        <v>0</v>
      </c>
      <c r="M6" s="77" t="s">
        <v>66</v>
      </c>
      <c r="O6" s="17" t="s">
        <v>39</v>
      </c>
    </row>
    <row r="7" spans="1:18">
      <c r="A7" s="2" t="s">
        <v>52</v>
      </c>
      <c r="B7" s="2" t="s">
        <v>47</v>
      </c>
      <c r="C7" s="3">
        <v>2</v>
      </c>
      <c r="D7" s="14"/>
      <c r="E7" s="20"/>
      <c r="F7" s="26">
        <v>1</v>
      </c>
      <c r="G7" s="32">
        <v>1</v>
      </c>
      <c r="H7" s="38">
        <v>1</v>
      </c>
      <c r="I7" s="46">
        <v>1</v>
      </c>
      <c r="J7" s="62">
        <v>1</v>
      </c>
      <c r="K7" s="72">
        <v>5</v>
      </c>
      <c r="L7" s="68">
        <f t="shared" ref="L7:L53" si="0">J7/K7*100</f>
        <v>20</v>
      </c>
      <c r="M7" s="77"/>
      <c r="O7" s="23" t="s">
        <v>41</v>
      </c>
      <c r="Q7" s="75" t="s">
        <v>65</v>
      </c>
      <c r="R7" s="2"/>
    </row>
    <row r="8" spans="1:18">
      <c r="A8" s="2" t="s">
        <v>53</v>
      </c>
      <c r="B8" s="2" t="s">
        <v>47</v>
      </c>
      <c r="C8" s="3">
        <v>3</v>
      </c>
      <c r="D8" s="14"/>
      <c r="E8" s="20"/>
      <c r="F8" s="26"/>
      <c r="G8" s="32"/>
      <c r="H8" s="38"/>
      <c r="I8" s="46"/>
      <c r="J8" s="62">
        <v>0</v>
      </c>
      <c r="K8" s="72">
        <v>3</v>
      </c>
      <c r="L8" s="68">
        <f t="shared" si="0"/>
        <v>0</v>
      </c>
      <c r="M8" s="77"/>
      <c r="O8" s="30" t="s">
        <v>40</v>
      </c>
      <c r="Q8" s="76"/>
      <c r="R8" s="2"/>
    </row>
    <row r="9" spans="1:18" ht="15.75">
      <c r="A9" s="2" t="s">
        <v>51</v>
      </c>
      <c r="B9" s="2" t="s">
        <v>48</v>
      </c>
      <c r="C9" s="3">
        <v>4</v>
      </c>
      <c r="D9" s="14"/>
      <c r="E9" s="20">
        <v>1</v>
      </c>
      <c r="F9" s="26">
        <v>1</v>
      </c>
      <c r="G9" s="32">
        <v>1</v>
      </c>
      <c r="H9" s="39">
        <v>2</v>
      </c>
      <c r="I9" s="47">
        <v>3</v>
      </c>
      <c r="J9" s="63">
        <v>4</v>
      </c>
      <c r="K9" s="72">
        <v>5</v>
      </c>
      <c r="L9" s="68">
        <f t="shared" si="0"/>
        <v>80</v>
      </c>
      <c r="M9" s="77"/>
      <c r="O9" s="43" t="s">
        <v>42</v>
      </c>
      <c r="Q9" s="76"/>
      <c r="R9" s="2"/>
    </row>
    <row r="10" spans="1:18" ht="15.75">
      <c r="A10" s="2" t="s">
        <v>53</v>
      </c>
      <c r="B10" s="2" t="s">
        <v>46</v>
      </c>
      <c r="C10" s="3">
        <v>5</v>
      </c>
      <c r="D10" s="15">
        <v>1</v>
      </c>
      <c r="E10" s="21">
        <v>1</v>
      </c>
      <c r="F10" s="27">
        <v>1</v>
      </c>
      <c r="G10" s="33">
        <v>1</v>
      </c>
      <c r="H10" s="41">
        <v>4</v>
      </c>
      <c r="I10" s="52">
        <v>4</v>
      </c>
      <c r="J10" s="64">
        <v>4</v>
      </c>
      <c r="K10" s="72">
        <v>4</v>
      </c>
      <c r="L10" s="68">
        <f t="shared" si="0"/>
        <v>100</v>
      </c>
      <c r="M10" s="77"/>
      <c r="O10" s="50" t="s">
        <v>43</v>
      </c>
    </row>
    <row r="11" spans="1:18" ht="15.75">
      <c r="A11" s="2" t="s">
        <v>53</v>
      </c>
      <c r="B11" s="2" t="s">
        <v>48</v>
      </c>
      <c r="C11" s="3">
        <v>6</v>
      </c>
      <c r="D11" s="14">
        <v>1</v>
      </c>
      <c r="E11" s="20">
        <v>2</v>
      </c>
      <c r="F11" s="26">
        <v>3</v>
      </c>
      <c r="G11" s="32">
        <v>3</v>
      </c>
      <c r="H11" s="38">
        <v>3</v>
      </c>
      <c r="I11" s="47">
        <v>4</v>
      </c>
      <c r="J11" s="63">
        <v>5</v>
      </c>
      <c r="K11" s="72">
        <v>5</v>
      </c>
      <c r="L11" s="68">
        <f t="shared" si="0"/>
        <v>100</v>
      </c>
      <c r="M11" s="77"/>
    </row>
    <row r="12" spans="1:18" ht="15.75">
      <c r="A12" s="2" t="s">
        <v>54</v>
      </c>
      <c r="B12" s="2" t="s">
        <v>48</v>
      </c>
      <c r="C12" s="3">
        <v>7</v>
      </c>
      <c r="D12" s="14">
        <v>2</v>
      </c>
      <c r="E12" s="20">
        <v>2</v>
      </c>
      <c r="F12" s="26">
        <v>2</v>
      </c>
      <c r="G12" s="35">
        <v>3</v>
      </c>
      <c r="H12" s="39">
        <v>4</v>
      </c>
      <c r="I12" s="47">
        <v>5</v>
      </c>
      <c r="J12" s="65">
        <v>5</v>
      </c>
      <c r="K12" s="72">
        <v>5</v>
      </c>
      <c r="L12" s="68">
        <f t="shared" si="0"/>
        <v>100</v>
      </c>
      <c r="M12" s="77"/>
    </row>
    <row r="13" spans="1:18" ht="15.75">
      <c r="A13" s="2" t="s">
        <v>54</v>
      </c>
      <c r="B13" s="2" t="s">
        <v>46</v>
      </c>
      <c r="C13" s="3">
        <v>8</v>
      </c>
      <c r="D13" s="14"/>
      <c r="E13" s="20"/>
      <c r="F13" s="26"/>
      <c r="G13" s="32"/>
      <c r="H13" s="38"/>
      <c r="I13" s="46"/>
      <c r="J13" s="63">
        <v>1</v>
      </c>
      <c r="K13" s="72">
        <v>5</v>
      </c>
      <c r="L13" s="68">
        <f t="shared" si="0"/>
        <v>20</v>
      </c>
      <c r="M13" s="77"/>
    </row>
    <row r="14" spans="1:18">
      <c r="A14" s="2" t="s">
        <v>53</v>
      </c>
      <c r="B14" s="2" t="s">
        <v>46</v>
      </c>
      <c r="C14" s="3">
        <v>9</v>
      </c>
      <c r="D14" s="14"/>
      <c r="E14" s="20"/>
      <c r="F14" s="26">
        <v>1</v>
      </c>
      <c r="G14" s="32">
        <v>1</v>
      </c>
      <c r="H14" s="38">
        <v>1</v>
      </c>
      <c r="I14" s="46">
        <v>1</v>
      </c>
      <c r="J14" s="62">
        <v>1</v>
      </c>
      <c r="K14" s="72">
        <v>5</v>
      </c>
      <c r="L14" s="68">
        <f t="shared" si="0"/>
        <v>20</v>
      </c>
      <c r="M14" s="77"/>
    </row>
    <row r="15" spans="1:18" ht="15.75">
      <c r="A15" s="2" t="s">
        <v>54</v>
      </c>
      <c r="B15" s="2" t="s">
        <v>49</v>
      </c>
      <c r="C15" s="3">
        <v>10</v>
      </c>
      <c r="D15" s="14"/>
      <c r="E15" s="20"/>
      <c r="F15" s="26"/>
      <c r="G15" s="32"/>
      <c r="H15" s="39">
        <v>1</v>
      </c>
      <c r="I15" s="46">
        <v>1</v>
      </c>
      <c r="J15" s="63">
        <v>2</v>
      </c>
      <c r="K15" s="72">
        <v>5</v>
      </c>
      <c r="L15" s="68">
        <f t="shared" si="0"/>
        <v>40</v>
      </c>
      <c r="M15" s="77"/>
    </row>
    <row r="16" spans="1:18">
      <c r="A16" s="2" t="s">
        <v>54</v>
      </c>
      <c r="B16" s="2" t="s">
        <v>47</v>
      </c>
      <c r="C16" s="3">
        <v>11</v>
      </c>
      <c r="D16" s="14"/>
      <c r="E16" s="20"/>
      <c r="F16" s="26"/>
      <c r="G16" s="32"/>
      <c r="H16" s="38"/>
      <c r="I16" s="46"/>
      <c r="J16" s="62">
        <v>0</v>
      </c>
      <c r="K16" s="72">
        <v>5</v>
      </c>
      <c r="L16" s="68">
        <f t="shared" si="0"/>
        <v>0</v>
      </c>
      <c r="M16" s="77"/>
    </row>
    <row r="17" spans="1:13" ht="15.75">
      <c r="A17" s="2" t="s">
        <v>51</v>
      </c>
      <c r="B17" s="2" t="s">
        <v>49</v>
      </c>
      <c r="C17" s="3">
        <v>12</v>
      </c>
      <c r="D17" s="14">
        <v>1</v>
      </c>
      <c r="E17" s="20">
        <v>1</v>
      </c>
      <c r="F17" s="26">
        <v>1</v>
      </c>
      <c r="G17" s="32">
        <v>1</v>
      </c>
      <c r="H17" s="39">
        <v>3</v>
      </c>
      <c r="I17" s="46">
        <v>3</v>
      </c>
      <c r="J17" s="62">
        <v>3</v>
      </c>
      <c r="K17" s="72">
        <v>5</v>
      </c>
      <c r="L17" s="68">
        <f t="shared" si="0"/>
        <v>60</v>
      </c>
      <c r="M17" s="77"/>
    </row>
    <row r="18" spans="1:13">
      <c r="A18" s="2" t="s">
        <v>51</v>
      </c>
      <c r="B18" s="2" t="s">
        <v>47</v>
      </c>
      <c r="C18" s="3">
        <v>13</v>
      </c>
      <c r="D18" s="14"/>
      <c r="E18" s="20"/>
      <c r="F18" s="26"/>
      <c r="G18" s="32"/>
      <c r="H18" s="38"/>
      <c r="I18" s="46"/>
      <c r="J18" s="62">
        <v>0</v>
      </c>
      <c r="K18" s="72">
        <v>5</v>
      </c>
      <c r="L18" s="68">
        <f t="shared" si="0"/>
        <v>0</v>
      </c>
      <c r="M18" s="77"/>
    </row>
    <row r="19" spans="1:13" ht="16.5" thickBot="1">
      <c r="A19" s="2" t="s">
        <v>53</v>
      </c>
      <c r="B19" s="2" t="s">
        <v>49</v>
      </c>
      <c r="C19" s="4">
        <v>14</v>
      </c>
      <c r="D19" s="16">
        <v>1</v>
      </c>
      <c r="E19" s="22">
        <v>1</v>
      </c>
      <c r="F19" s="28">
        <v>2</v>
      </c>
      <c r="G19" s="34">
        <v>2</v>
      </c>
      <c r="H19" s="42">
        <v>3</v>
      </c>
      <c r="I19" s="49">
        <v>3</v>
      </c>
      <c r="J19" s="66">
        <v>3</v>
      </c>
      <c r="K19" s="73">
        <v>5</v>
      </c>
      <c r="L19" s="69">
        <f t="shared" si="0"/>
        <v>60</v>
      </c>
      <c r="M19" s="70">
        <f>AVERAGE(L6:L19)</f>
        <v>42.857142857142854</v>
      </c>
    </row>
    <row r="20" spans="1:13">
      <c r="C20" s="3" t="s">
        <v>2</v>
      </c>
      <c r="D20" s="14"/>
      <c r="E20" s="20"/>
      <c r="F20" s="26"/>
      <c r="G20" s="32"/>
      <c r="H20" s="38"/>
      <c r="I20" s="46"/>
      <c r="J20" s="62">
        <v>0</v>
      </c>
      <c r="K20" s="72">
        <v>4</v>
      </c>
      <c r="L20" s="68">
        <f t="shared" si="0"/>
        <v>0</v>
      </c>
      <c r="M20" s="78" t="s">
        <v>67</v>
      </c>
    </row>
    <row r="21" spans="1:13">
      <c r="C21" s="3" t="s">
        <v>3</v>
      </c>
      <c r="D21" s="14"/>
      <c r="E21" s="20"/>
      <c r="F21" s="26">
        <v>3</v>
      </c>
      <c r="G21" s="32">
        <v>3</v>
      </c>
      <c r="H21" s="38">
        <v>3</v>
      </c>
      <c r="I21" s="46">
        <v>3</v>
      </c>
      <c r="J21" s="62">
        <v>3</v>
      </c>
      <c r="K21" s="72">
        <v>3</v>
      </c>
      <c r="L21" s="68">
        <f t="shared" si="0"/>
        <v>100</v>
      </c>
      <c r="M21" s="77"/>
    </row>
    <row r="22" spans="1:13" ht="15.75">
      <c r="C22" s="3" t="s">
        <v>4</v>
      </c>
      <c r="D22" s="14"/>
      <c r="E22" s="20"/>
      <c r="F22" s="26"/>
      <c r="G22" s="32"/>
      <c r="H22" s="38"/>
      <c r="I22" s="46"/>
      <c r="J22" s="63">
        <v>1</v>
      </c>
      <c r="K22" s="72">
        <v>3</v>
      </c>
      <c r="L22" s="68">
        <f t="shared" si="0"/>
        <v>33.333333333333329</v>
      </c>
      <c r="M22" s="77"/>
    </row>
    <row r="23" spans="1:13">
      <c r="C23" s="3" t="s">
        <v>5</v>
      </c>
      <c r="D23" s="14"/>
      <c r="E23" s="20">
        <v>1</v>
      </c>
      <c r="F23" s="26">
        <v>4</v>
      </c>
      <c r="G23" s="32">
        <v>4</v>
      </c>
      <c r="H23" s="38">
        <v>4</v>
      </c>
      <c r="I23" s="46">
        <v>4</v>
      </c>
      <c r="J23" s="62">
        <v>4</v>
      </c>
      <c r="K23" s="72">
        <v>4</v>
      </c>
      <c r="L23" s="68">
        <f t="shared" si="0"/>
        <v>100</v>
      </c>
      <c r="M23" s="77"/>
    </row>
    <row r="24" spans="1:13" ht="15.75">
      <c r="C24" s="3" t="s">
        <v>6</v>
      </c>
      <c r="D24" s="14"/>
      <c r="E24" s="20"/>
      <c r="F24" s="26">
        <v>3</v>
      </c>
      <c r="G24" s="35">
        <v>4</v>
      </c>
      <c r="H24" s="38">
        <v>4</v>
      </c>
      <c r="I24" s="46">
        <v>4</v>
      </c>
      <c r="J24" s="62">
        <v>4</v>
      </c>
      <c r="K24" s="72">
        <v>4</v>
      </c>
      <c r="L24" s="68">
        <f t="shared" si="0"/>
        <v>100</v>
      </c>
      <c r="M24" s="77"/>
    </row>
    <row r="25" spans="1:13" ht="15.75">
      <c r="C25" s="3" t="s">
        <v>7</v>
      </c>
      <c r="D25" s="14"/>
      <c r="E25" s="20"/>
      <c r="F25" s="26"/>
      <c r="G25" s="32"/>
      <c r="H25" s="39">
        <v>2</v>
      </c>
      <c r="I25" s="46">
        <v>2</v>
      </c>
      <c r="J25" s="62">
        <v>2</v>
      </c>
      <c r="K25" s="72">
        <v>3</v>
      </c>
      <c r="L25" s="68">
        <f t="shared" si="0"/>
        <v>66.666666666666657</v>
      </c>
      <c r="M25" s="77"/>
    </row>
    <row r="26" spans="1:13">
      <c r="C26" s="3" t="s">
        <v>8</v>
      </c>
      <c r="D26" s="14"/>
      <c r="E26" s="20"/>
      <c r="F26" s="26">
        <v>1</v>
      </c>
      <c r="G26" s="32">
        <v>1</v>
      </c>
      <c r="H26" s="38">
        <v>1</v>
      </c>
      <c r="I26" s="46">
        <v>1</v>
      </c>
      <c r="J26" s="62">
        <v>1</v>
      </c>
      <c r="K26" s="72">
        <v>3</v>
      </c>
      <c r="L26" s="68">
        <f t="shared" si="0"/>
        <v>33.333333333333329</v>
      </c>
      <c r="M26" s="77"/>
    </row>
    <row r="27" spans="1:13" ht="15.75">
      <c r="C27" s="3" t="s">
        <v>9</v>
      </c>
      <c r="D27" s="14"/>
      <c r="E27" s="20"/>
      <c r="F27" s="26"/>
      <c r="G27" s="32"/>
      <c r="H27" s="38"/>
      <c r="I27" s="46"/>
      <c r="J27" s="63">
        <v>1</v>
      </c>
      <c r="K27" s="72">
        <v>4</v>
      </c>
      <c r="L27" s="68">
        <f t="shared" si="0"/>
        <v>25</v>
      </c>
      <c r="M27" s="77"/>
    </row>
    <row r="28" spans="1:13" ht="15.75">
      <c r="C28" s="3" t="s">
        <v>10</v>
      </c>
      <c r="D28" s="14"/>
      <c r="E28" s="20"/>
      <c r="F28" s="26">
        <v>1</v>
      </c>
      <c r="G28" s="32">
        <v>1</v>
      </c>
      <c r="H28" s="39">
        <v>3</v>
      </c>
      <c r="I28" s="46">
        <v>3</v>
      </c>
      <c r="J28" s="62">
        <v>3</v>
      </c>
      <c r="K28" s="72">
        <v>4</v>
      </c>
      <c r="L28" s="68">
        <f t="shared" si="0"/>
        <v>75</v>
      </c>
      <c r="M28" s="77"/>
    </row>
    <row r="29" spans="1:13" ht="15.75">
      <c r="C29" s="3" t="s">
        <v>11</v>
      </c>
      <c r="D29" s="14"/>
      <c r="E29" s="20"/>
      <c r="F29" s="26">
        <v>1</v>
      </c>
      <c r="G29" s="35">
        <v>3</v>
      </c>
      <c r="H29" s="39">
        <v>4</v>
      </c>
      <c r="I29" s="46">
        <v>4</v>
      </c>
      <c r="J29" s="62">
        <v>4</v>
      </c>
      <c r="K29" s="72">
        <v>4</v>
      </c>
      <c r="L29" s="68">
        <f t="shared" si="0"/>
        <v>100</v>
      </c>
      <c r="M29" s="77"/>
    </row>
    <row r="30" spans="1:13" ht="15.75">
      <c r="C30" s="3" t="s">
        <v>12</v>
      </c>
      <c r="D30" s="14"/>
      <c r="E30" s="20"/>
      <c r="F30" s="26"/>
      <c r="G30" s="32"/>
      <c r="H30" s="38"/>
      <c r="I30" s="46"/>
      <c r="J30" s="63">
        <v>1</v>
      </c>
      <c r="K30" s="72">
        <v>3</v>
      </c>
      <c r="L30" s="68">
        <f t="shared" si="0"/>
        <v>33.333333333333329</v>
      </c>
      <c r="M30" s="77"/>
    </row>
    <row r="31" spans="1:13" ht="15.75">
      <c r="C31" s="3" t="s">
        <v>33</v>
      </c>
      <c r="D31" s="14"/>
      <c r="E31" s="20"/>
      <c r="F31" s="26"/>
      <c r="G31" s="32"/>
      <c r="H31" s="39">
        <v>1</v>
      </c>
      <c r="I31" s="47">
        <v>2</v>
      </c>
      <c r="J31" s="62">
        <v>2</v>
      </c>
      <c r="K31" s="72">
        <v>4</v>
      </c>
      <c r="L31" s="68">
        <f t="shared" si="0"/>
        <v>50</v>
      </c>
      <c r="M31" s="77"/>
    </row>
    <row r="32" spans="1:13" ht="15.75">
      <c r="C32" s="3" t="s">
        <v>34</v>
      </c>
      <c r="D32" s="14"/>
      <c r="E32" s="20"/>
      <c r="F32" s="26"/>
      <c r="G32" s="32"/>
      <c r="H32" s="39">
        <v>1</v>
      </c>
      <c r="I32" s="47">
        <v>2</v>
      </c>
      <c r="J32" s="63">
        <v>4</v>
      </c>
      <c r="K32" s="72">
        <v>4</v>
      </c>
      <c r="L32" s="68">
        <f t="shared" si="0"/>
        <v>100</v>
      </c>
      <c r="M32" s="77"/>
    </row>
    <row r="33" spans="1:13" ht="15.75">
      <c r="C33" s="3" t="s">
        <v>13</v>
      </c>
      <c r="D33" s="14"/>
      <c r="E33" s="20"/>
      <c r="F33" s="26"/>
      <c r="G33" s="32"/>
      <c r="H33" s="38"/>
      <c r="I33" s="46"/>
      <c r="J33" s="63">
        <v>2</v>
      </c>
      <c r="K33" s="72">
        <v>4</v>
      </c>
      <c r="L33" s="68">
        <f t="shared" si="0"/>
        <v>50</v>
      </c>
      <c r="M33" s="77"/>
    </row>
    <row r="34" spans="1:13">
      <c r="C34" s="3" t="s">
        <v>14</v>
      </c>
      <c r="D34" s="14"/>
      <c r="E34" s="20"/>
      <c r="F34" s="26"/>
      <c r="G34" s="32"/>
      <c r="H34" s="38"/>
      <c r="I34" s="46"/>
      <c r="J34" s="62">
        <v>0</v>
      </c>
      <c r="K34" s="72">
        <v>3</v>
      </c>
      <c r="L34" s="68">
        <f t="shared" si="0"/>
        <v>0</v>
      </c>
      <c r="M34" s="77"/>
    </row>
    <row r="35" spans="1:13" ht="16.5" thickBot="1">
      <c r="C35" s="4" t="s">
        <v>15</v>
      </c>
      <c r="D35" s="16"/>
      <c r="E35" s="22"/>
      <c r="F35" s="28">
        <v>1</v>
      </c>
      <c r="G35" s="34">
        <v>1</v>
      </c>
      <c r="H35" s="40">
        <v>1</v>
      </c>
      <c r="I35" s="49">
        <v>1</v>
      </c>
      <c r="J35" s="66">
        <v>1</v>
      </c>
      <c r="K35" s="73">
        <v>3</v>
      </c>
      <c r="L35" s="69">
        <f t="shared" si="0"/>
        <v>33.333333333333329</v>
      </c>
      <c r="M35" s="70">
        <f>AVERAGE(L20:L35)</f>
        <v>56.25</v>
      </c>
    </row>
    <row r="36" spans="1:13">
      <c r="A36" s="2" t="s">
        <v>54</v>
      </c>
      <c r="B36" s="2" t="s">
        <v>46</v>
      </c>
      <c r="C36" s="3" t="s">
        <v>16</v>
      </c>
      <c r="D36" s="14"/>
      <c r="E36" s="20"/>
      <c r="F36" s="26">
        <v>1</v>
      </c>
      <c r="G36" s="32">
        <v>1</v>
      </c>
      <c r="H36" s="38">
        <v>1</v>
      </c>
      <c r="I36" s="46">
        <v>1</v>
      </c>
      <c r="J36" s="62">
        <v>1</v>
      </c>
      <c r="K36" s="72">
        <v>4</v>
      </c>
      <c r="L36" s="68">
        <f>J36/K36*100</f>
        <v>25</v>
      </c>
      <c r="M36" s="78" t="s">
        <v>68</v>
      </c>
    </row>
    <row r="37" spans="1:13" ht="15.75">
      <c r="A37" s="2" t="s">
        <v>51</v>
      </c>
      <c r="B37" s="2" t="s">
        <v>46</v>
      </c>
      <c r="C37" s="3" t="s">
        <v>17</v>
      </c>
      <c r="D37" s="14"/>
      <c r="E37" s="20"/>
      <c r="F37" s="26"/>
      <c r="G37" s="35">
        <v>1</v>
      </c>
      <c r="H37" s="38">
        <v>1</v>
      </c>
      <c r="I37" s="47">
        <v>3</v>
      </c>
      <c r="J37" s="63">
        <v>4</v>
      </c>
      <c r="K37" s="72">
        <v>4</v>
      </c>
      <c r="L37" s="68">
        <f t="shared" si="0"/>
        <v>100</v>
      </c>
      <c r="M37" s="77"/>
    </row>
    <row r="38" spans="1:13">
      <c r="A38" s="2" t="s">
        <v>51</v>
      </c>
      <c r="B38" s="2" t="s">
        <v>49</v>
      </c>
      <c r="C38" s="3" t="s">
        <v>18</v>
      </c>
      <c r="D38" s="14"/>
      <c r="E38" s="20"/>
      <c r="F38" s="26"/>
      <c r="G38" s="32"/>
      <c r="H38" s="38"/>
      <c r="I38" s="46"/>
      <c r="J38" s="62">
        <v>0</v>
      </c>
      <c r="K38" s="72">
        <v>4</v>
      </c>
      <c r="L38" s="68">
        <f t="shared" si="0"/>
        <v>0</v>
      </c>
      <c r="M38" s="77"/>
    </row>
    <row r="39" spans="1:13" ht="15.75">
      <c r="A39" s="2" t="s">
        <v>53</v>
      </c>
      <c r="B39" s="2" t="s">
        <v>46</v>
      </c>
      <c r="C39" s="3" t="s">
        <v>19</v>
      </c>
      <c r="D39" s="14"/>
      <c r="E39" s="20"/>
      <c r="F39" s="26"/>
      <c r="G39" s="32"/>
      <c r="H39" s="39">
        <v>1</v>
      </c>
      <c r="I39" s="51">
        <v>1</v>
      </c>
      <c r="J39" s="62">
        <v>1</v>
      </c>
      <c r="K39" s="72">
        <v>4</v>
      </c>
      <c r="L39" s="68">
        <f>J39/K39*100</f>
        <v>25</v>
      </c>
      <c r="M39" s="77"/>
    </row>
    <row r="40" spans="1:13" ht="15.75">
      <c r="A40" s="2" t="s">
        <v>53</v>
      </c>
      <c r="B40" s="2" t="s">
        <v>49</v>
      </c>
      <c r="C40" s="3" t="s">
        <v>20</v>
      </c>
      <c r="D40" s="14"/>
      <c r="E40" s="20"/>
      <c r="F40" s="26"/>
      <c r="G40" s="32"/>
      <c r="H40" s="38"/>
      <c r="I40" s="46"/>
      <c r="J40" s="63">
        <v>2</v>
      </c>
      <c r="K40" s="72">
        <v>4</v>
      </c>
      <c r="L40" s="68">
        <f t="shared" si="0"/>
        <v>50</v>
      </c>
      <c r="M40" s="77"/>
    </row>
    <row r="41" spans="1:13" ht="15.75">
      <c r="A41" s="2" t="s">
        <v>51</v>
      </c>
      <c r="B41" s="2" t="s">
        <v>48</v>
      </c>
      <c r="C41" s="3" t="s">
        <v>21</v>
      </c>
      <c r="D41" s="14"/>
      <c r="E41" s="20"/>
      <c r="F41" s="26">
        <v>2</v>
      </c>
      <c r="G41" s="32">
        <v>2</v>
      </c>
      <c r="H41" s="39">
        <v>3</v>
      </c>
      <c r="I41" s="47">
        <v>4</v>
      </c>
      <c r="J41" s="62">
        <v>4</v>
      </c>
      <c r="K41" s="72">
        <v>4</v>
      </c>
      <c r="L41" s="68">
        <f t="shared" si="0"/>
        <v>100</v>
      </c>
      <c r="M41" s="77"/>
    </row>
    <row r="42" spans="1:13">
      <c r="A42" s="2" t="s">
        <v>53</v>
      </c>
      <c r="B42" s="2" t="s">
        <v>48</v>
      </c>
      <c r="C42" s="3" t="s">
        <v>22</v>
      </c>
      <c r="D42" s="14"/>
      <c r="E42" s="20"/>
      <c r="F42" s="26">
        <v>4</v>
      </c>
      <c r="G42" s="32">
        <v>4</v>
      </c>
      <c r="H42" s="38">
        <v>4</v>
      </c>
      <c r="I42" s="46">
        <v>4</v>
      </c>
      <c r="J42" s="62">
        <v>4</v>
      </c>
      <c r="K42" s="72">
        <v>4</v>
      </c>
      <c r="L42" s="68">
        <f t="shared" si="0"/>
        <v>100</v>
      </c>
      <c r="M42" s="77"/>
    </row>
    <row r="43" spans="1:13" ht="15.75">
      <c r="A43" s="2" t="s">
        <v>54</v>
      </c>
      <c r="B43" s="2" t="s">
        <v>49</v>
      </c>
      <c r="C43" s="3" t="s">
        <v>23</v>
      </c>
      <c r="D43" s="14"/>
      <c r="E43" s="20"/>
      <c r="F43" s="26">
        <v>3</v>
      </c>
      <c r="G43" s="35">
        <v>4</v>
      </c>
      <c r="H43" s="38">
        <v>4</v>
      </c>
      <c r="I43" s="46">
        <v>4</v>
      </c>
      <c r="J43" s="62">
        <v>4</v>
      </c>
      <c r="K43" s="72">
        <v>4</v>
      </c>
      <c r="L43" s="68">
        <f t="shared" si="0"/>
        <v>100</v>
      </c>
      <c r="M43" s="77"/>
    </row>
    <row r="44" spans="1:13">
      <c r="A44" s="2" t="s">
        <v>54</v>
      </c>
      <c r="B44" s="2" t="s">
        <v>48</v>
      </c>
      <c r="C44" s="3" t="s">
        <v>24</v>
      </c>
      <c r="D44" s="14">
        <v>2</v>
      </c>
      <c r="E44" s="20">
        <v>4</v>
      </c>
      <c r="F44" s="26">
        <v>5</v>
      </c>
      <c r="G44" s="32">
        <v>5</v>
      </c>
      <c r="H44" s="38">
        <v>5</v>
      </c>
      <c r="I44" s="46">
        <v>5</v>
      </c>
      <c r="J44" s="62">
        <v>5</v>
      </c>
      <c r="K44" s="72">
        <v>5</v>
      </c>
      <c r="L44" s="68">
        <f t="shared" si="0"/>
        <v>100</v>
      </c>
      <c r="M44" s="77"/>
    </row>
    <row r="45" spans="1:13">
      <c r="A45" s="2" t="s">
        <v>55</v>
      </c>
      <c r="B45" s="2" t="s">
        <v>48</v>
      </c>
      <c r="C45" s="3" t="s">
        <v>25</v>
      </c>
      <c r="D45" s="14">
        <v>5</v>
      </c>
      <c r="E45" s="20">
        <v>5</v>
      </c>
      <c r="F45" s="26">
        <v>5</v>
      </c>
      <c r="G45" s="32">
        <v>5</v>
      </c>
      <c r="H45" s="38">
        <v>5</v>
      </c>
      <c r="I45" s="46">
        <v>5</v>
      </c>
      <c r="J45" s="62">
        <v>5</v>
      </c>
      <c r="K45" s="72">
        <v>5</v>
      </c>
      <c r="L45" s="68">
        <f t="shared" si="0"/>
        <v>100</v>
      </c>
      <c r="M45" s="77"/>
    </row>
    <row r="46" spans="1:13" ht="15.75">
      <c r="A46" s="2" t="s">
        <v>54</v>
      </c>
      <c r="B46" s="2" t="s">
        <v>48</v>
      </c>
      <c r="C46" s="3" t="s">
        <v>26</v>
      </c>
      <c r="D46" s="14"/>
      <c r="E46" s="20"/>
      <c r="F46" s="26"/>
      <c r="G46" s="35">
        <v>1</v>
      </c>
      <c r="H46" s="38">
        <v>1</v>
      </c>
      <c r="I46" s="47">
        <v>2</v>
      </c>
      <c r="J46" s="62">
        <v>2</v>
      </c>
      <c r="K46" s="72">
        <v>4</v>
      </c>
      <c r="L46" s="68">
        <f t="shared" si="0"/>
        <v>50</v>
      </c>
      <c r="M46" s="77"/>
    </row>
    <row r="47" spans="1:13" ht="15.75">
      <c r="A47" s="2" t="s">
        <v>53</v>
      </c>
      <c r="B47" s="2" t="s">
        <v>50</v>
      </c>
      <c r="C47" s="3" t="s">
        <v>27</v>
      </c>
      <c r="D47" s="14"/>
      <c r="E47" s="20"/>
      <c r="F47" s="26">
        <v>1</v>
      </c>
      <c r="G47" s="32">
        <v>1</v>
      </c>
      <c r="H47" s="39">
        <v>2</v>
      </c>
      <c r="I47" s="47">
        <v>3</v>
      </c>
      <c r="J47" s="62">
        <v>3</v>
      </c>
      <c r="K47" s="72">
        <v>4</v>
      </c>
      <c r="L47" s="68">
        <f t="shared" si="0"/>
        <v>75</v>
      </c>
      <c r="M47" s="77"/>
    </row>
    <row r="48" spans="1:13">
      <c r="A48" s="2" t="s">
        <v>51</v>
      </c>
      <c r="B48" s="2" t="s">
        <v>50</v>
      </c>
      <c r="C48" s="3" t="s">
        <v>28</v>
      </c>
      <c r="D48" s="14">
        <v>1</v>
      </c>
      <c r="E48" s="20">
        <v>1</v>
      </c>
      <c r="F48" s="26">
        <v>1</v>
      </c>
      <c r="G48" s="32">
        <v>1</v>
      </c>
      <c r="H48" s="38">
        <v>1</v>
      </c>
      <c r="I48" s="46">
        <v>1</v>
      </c>
      <c r="J48" s="62">
        <v>1</v>
      </c>
      <c r="K48" s="72">
        <v>4</v>
      </c>
      <c r="L48" s="68">
        <f t="shared" si="0"/>
        <v>25</v>
      </c>
      <c r="M48" s="77"/>
    </row>
    <row r="49" spans="1:13" ht="15.75">
      <c r="A49" s="2" t="s">
        <v>51</v>
      </c>
      <c r="B49" s="2" t="s">
        <v>48</v>
      </c>
      <c r="C49" s="3" t="s">
        <v>29</v>
      </c>
      <c r="D49" s="14"/>
      <c r="E49" s="20"/>
      <c r="F49" s="26">
        <v>1</v>
      </c>
      <c r="G49" s="32">
        <v>1</v>
      </c>
      <c r="H49" s="39">
        <v>3</v>
      </c>
      <c r="I49" s="46">
        <v>3</v>
      </c>
      <c r="J49" s="62">
        <v>3</v>
      </c>
      <c r="K49" s="72">
        <v>4</v>
      </c>
      <c r="L49" s="68">
        <f t="shared" si="0"/>
        <v>75</v>
      </c>
      <c r="M49" s="77"/>
    </row>
    <row r="50" spans="1:13">
      <c r="A50" s="2" t="s">
        <v>52</v>
      </c>
      <c r="B50" s="2" t="s">
        <v>48</v>
      </c>
      <c r="C50" s="3" t="s">
        <v>30</v>
      </c>
      <c r="D50" s="14">
        <v>1</v>
      </c>
      <c r="E50" s="20">
        <v>1</v>
      </c>
      <c r="F50" s="26">
        <v>4</v>
      </c>
      <c r="G50" s="32">
        <v>4</v>
      </c>
      <c r="H50" s="38">
        <v>4</v>
      </c>
      <c r="I50" s="46">
        <v>4</v>
      </c>
      <c r="J50" s="62">
        <v>4</v>
      </c>
      <c r="K50" s="72">
        <v>4</v>
      </c>
      <c r="L50" s="68">
        <f t="shared" si="0"/>
        <v>100</v>
      </c>
      <c r="M50" s="77"/>
    </row>
    <row r="51" spans="1:13" ht="15.75">
      <c r="A51" s="2" t="s">
        <v>54</v>
      </c>
      <c r="B51" s="2" t="s">
        <v>50</v>
      </c>
      <c r="C51" s="3" t="s">
        <v>31</v>
      </c>
      <c r="D51" s="14"/>
      <c r="E51" s="20"/>
      <c r="F51" s="26">
        <v>1</v>
      </c>
      <c r="G51" s="35">
        <v>3</v>
      </c>
      <c r="H51" s="38">
        <v>3</v>
      </c>
      <c r="I51" s="46">
        <v>3</v>
      </c>
      <c r="J51" s="62">
        <v>3</v>
      </c>
      <c r="K51" s="72">
        <v>4</v>
      </c>
      <c r="L51" s="68">
        <f t="shared" si="0"/>
        <v>75</v>
      </c>
      <c r="M51" s="77"/>
    </row>
    <row r="52" spans="1:13" ht="15.75">
      <c r="A52" s="2" t="s">
        <v>53</v>
      </c>
      <c r="B52" s="2" t="s">
        <v>48</v>
      </c>
      <c r="C52" s="3" t="s">
        <v>35</v>
      </c>
      <c r="D52" s="14"/>
      <c r="E52" s="20"/>
      <c r="F52" s="26">
        <v>2</v>
      </c>
      <c r="G52" s="35">
        <v>4</v>
      </c>
      <c r="H52" s="38">
        <v>4</v>
      </c>
      <c r="I52" s="46">
        <v>4</v>
      </c>
      <c r="J52" s="62">
        <v>4</v>
      </c>
      <c r="K52" s="72">
        <v>4</v>
      </c>
      <c r="L52" s="68">
        <f t="shared" si="0"/>
        <v>100</v>
      </c>
      <c r="M52" s="77"/>
    </row>
    <row r="53" spans="1:13" ht="16.5" thickBot="1">
      <c r="A53" s="2" t="s">
        <v>52</v>
      </c>
      <c r="B53" s="2" t="s">
        <v>50</v>
      </c>
      <c r="C53" s="4" t="s">
        <v>36</v>
      </c>
      <c r="D53" s="16"/>
      <c r="E53" s="22"/>
      <c r="F53" s="28"/>
      <c r="G53" s="34"/>
      <c r="H53" s="42">
        <v>1</v>
      </c>
      <c r="I53" s="48">
        <v>2</v>
      </c>
      <c r="J53" s="66">
        <v>4</v>
      </c>
      <c r="K53" s="73">
        <v>4</v>
      </c>
      <c r="L53" s="69">
        <f t="shared" si="0"/>
        <v>100</v>
      </c>
      <c r="M53" s="70">
        <f>AVERAGE(L36:L53)</f>
        <v>72.222222222222229</v>
      </c>
    </row>
    <row r="54" spans="1:13" ht="16.5" thickBot="1">
      <c r="J54" s="59"/>
      <c r="K54" s="7">
        <v>4</v>
      </c>
    </row>
  </sheetData>
  <mergeCells count="5">
    <mergeCell ref="A2:K2"/>
    <mergeCell ref="Q7:Q9"/>
    <mergeCell ref="M6:M18"/>
    <mergeCell ref="M20:M34"/>
    <mergeCell ref="M36:M5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>
      <selection activeCell="H16" sqref="H16"/>
    </sheetView>
  </sheetViews>
  <sheetFormatPr defaultRowHeight="15"/>
  <sheetData>
    <row r="1" spans="1:8" ht="15.75" thickBot="1">
      <c r="A1" t="s">
        <v>56</v>
      </c>
      <c r="B1" t="s">
        <v>57</v>
      </c>
      <c r="C1" t="s">
        <v>58</v>
      </c>
    </row>
    <row r="2" spans="1:8">
      <c r="A2" s="2" t="s">
        <v>46</v>
      </c>
      <c r="B2" s="3">
        <v>1</v>
      </c>
      <c r="C2" s="61">
        <v>0</v>
      </c>
    </row>
    <row r="3" spans="1:8">
      <c r="A3" s="2" t="s">
        <v>47</v>
      </c>
      <c r="B3" s="3">
        <v>2</v>
      </c>
      <c r="C3" s="62">
        <v>1</v>
      </c>
      <c r="E3" t="s">
        <v>60</v>
      </c>
    </row>
    <row r="4" spans="1:8">
      <c r="A4" s="2" t="s">
        <v>47</v>
      </c>
      <c r="B4" s="3">
        <v>3</v>
      </c>
      <c r="C4" s="62">
        <v>0</v>
      </c>
      <c r="E4">
        <v>0</v>
      </c>
      <c r="F4" t="s">
        <v>47</v>
      </c>
      <c r="G4">
        <f>1/4</f>
        <v>0.25</v>
      </c>
      <c r="H4">
        <v>2010</v>
      </c>
    </row>
    <row r="5" spans="1:8" ht="15.75">
      <c r="A5" s="2" t="s">
        <v>48</v>
      </c>
      <c r="B5" s="3">
        <v>4</v>
      </c>
      <c r="C5" s="63">
        <v>4</v>
      </c>
      <c r="E5">
        <v>1</v>
      </c>
      <c r="F5" t="s">
        <v>46</v>
      </c>
      <c r="G5">
        <f>SUM(C2,C9,C6,C10)/4</f>
        <v>1.5</v>
      </c>
      <c r="H5">
        <v>2010</v>
      </c>
    </row>
    <row r="6" spans="1:8">
      <c r="A6" s="2" t="s">
        <v>46</v>
      </c>
      <c r="B6" s="3">
        <v>5</v>
      </c>
      <c r="C6" s="64">
        <v>4</v>
      </c>
      <c r="E6">
        <v>2</v>
      </c>
      <c r="F6" t="s">
        <v>49</v>
      </c>
      <c r="G6">
        <f>SUM(C11,C13,C15)/3</f>
        <v>2.6666666666666665</v>
      </c>
      <c r="H6">
        <v>2010</v>
      </c>
    </row>
    <row r="7" spans="1:8" ht="15.75">
      <c r="A7" s="2" t="s">
        <v>48</v>
      </c>
      <c r="B7" s="3">
        <v>6</v>
      </c>
      <c r="C7" s="63">
        <v>5</v>
      </c>
      <c r="E7">
        <v>3</v>
      </c>
      <c r="F7" t="s">
        <v>48</v>
      </c>
      <c r="G7">
        <f>SUM(C5,C7,C8,)/3</f>
        <v>4.666666666666667</v>
      </c>
      <c r="H7">
        <v>2010</v>
      </c>
    </row>
    <row r="8" spans="1:8" ht="15.75">
      <c r="A8" s="2" t="s">
        <v>48</v>
      </c>
      <c r="B8" s="3">
        <v>7</v>
      </c>
      <c r="C8" s="65">
        <v>5</v>
      </c>
    </row>
    <row r="9" spans="1:8" ht="15.75">
      <c r="A9" s="2" t="s">
        <v>46</v>
      </c>
      <c r="B9" s="3">
        <v>8</v>
      </c>
      <c r="C9" s="63">
        <v>1</v>
      </c>
      <c r="E9">
        <v>1</v>
      </c>
      <c r="F9" t="s">
        <v>46</v>
      </c>
      <c r="G9">
        <f>SUM(C16,C17,C19)/3</f>
        <v>2</v>
      </c>
      <c r="H9">
        <v>2011</v>
      </c>
    </row>
    <row r="10" spans="1:8">
      <c r="A10" s="2" t="s">
        <v>46</v>
      </c>
      <c r="B10" s="3">
        <v>9</v>
      </c>
      <c r="C10" s="62">
        <v>1</v>
      </c>
      <c r="E10">
        <v>2</v>
      </c>
      <c r="F10" t="s">
        <v>49</v>
      </c>
      <c r="G10">
        <f>SUM(C18,C20,C23)/3</f>
        <v>2</v>
      </c>
      <c r="H10">
        <v>2011</v>
      </c>
    </row>
    <row r="11" spans="1:8" ht="15.75">
      <c r="A11" s="2" t="s">
        <v>49</v>
      </c>
      <c r="B11" s="3">
        <v>10</v>
      </c>
      <c r="C11" s="63">
        <v>2</v>
      </c>
      <c r="E11">
        <v>3</v>
      </c>
      <c r="F11" t="s">
        <v>48</v>
      </c>
      <c r="G11">
        <f>SUM(C21,C22,C24,C25)/4</f>
        <v>4.5</v>
      </c>
      <c r="H11">
        <v>2011</v>
      </c>
    </row>
    <row r="12" spans="1:8">
      <c r="A12" s="2" t="s">
        <v>47</v>
      </c>
      <c r="B12" s="3">
        <v>11</v>
      </c>
      <c r="C12" s="62">
        <v>0</v>
      </c>
    </row>
    <row r="13" spans="1:8">
      <c r="A13" s="2" t="s">
        <v>49</v>
      </c>
      <c r="B13" s="3">
        <v>12</v>
      </c>
      <c r="C13" s="62">
        <v>3</v>
      </c>
      <c r="E13" t="s">
        <v>61</v>
      </c>
      <c r="F13" t="s">
        <v>63</v>
      </c>
      <c r="G13">
        <f>SUM(C26,C29,C30,C32)/4</f>
        <v>3.25</v>
      </c>
      <c r="H13" t="s">
        <v>59</v>
      </c>
    </row>
    <row r="14" spans="1:8">
      <c r="A14" s="2" t="s">
        <v>47</v>
      </c>
      <c r="B14" s="3">
        <v>13</v>
      </c>
      <c r="C14" s="62">
        <v>0</v>
      </c>
      <c r="E14" t="s">
        <v>62</v>
      </c>
      <c r="F14" t="s">
        <v>64</v>
      </c>
      <c r="G14">
        <f>SUM(C27,C28,C31,C33)/4</f>
        <v>2.75</v>
      </c>
      <c r="H14" t="s">
        <v>59</v>
      </c>
    </row>
    <row r="15" spans="1:8" ht="15.75" thickBot="1">
      <c r="A15" s="2" t="s">
        <v>49</v>
      </c>
      <c r="B15" s="4">
        <v>14</v>
      </c>
      <c r="C15" s="66">
        <v>3</v>
      </c>
    </row>
    <row r="16" spans="1:8">
      <c r="A16" s="2" t="s">
        <v>46</v>
      </c>
      <c r="B16" s="3" t="s">
        <v>16</v>
      </c>
      <c r="C16" s="62">
        <v>1</v>
      </c>
    </row>
    <row r="17" spans="1:3" ht="15.75">
      <c r="A17" s="2" t="s">
        <v>46</v>
      </c>
      <c r="B17" s="3" t="s">
        <v>17</v>
      </c>
      <c r="C17" s="63">
        <v>4</v>
      </c>
    </row>
    <row r="18" spans="1:3">
      <c r="A18" s="2" t="s">
        <v>49</v>
      </c>
      <c r="B18" s="3" t="s">
        <v>18</v>
      </c>
      <c r="C18" s="62">
        <v>0</v>
      </c>
    </row>
    <row r="19" spans="1:3">
      <c r="A19" s="2" t="s">
        <v>46</v>
      </c>
      <c r="B19" s="3" t="s">
        <v>19</v>
      </c>
      <c r="C19" s="62">
        <v>1</v>
      </c>
    </row>
    <row r="20" spans="1:3" ht="15.75">
      <c r="A20" s="2" t="s">
        <v>49</v>
      </c>
      <c r="B20" s="3" t="s">
        <v>20</v>
      </c>
      <c r="C20" s="63">
        <v>2</v>
      </c>
    </row>
    <row r="21" spans="1:3">
      <c r="A21" s="2" t="s">
        <v>48</v>
      </c>
      <c r="B21" s="3" t="s">
        <v>21</v>
      </c>
      <c r="C21" s="62">
        <v>4</v>
      </c>
    </row>
    <row r="22" spans="1:3">
      <c r="A22" s="2" t="s">
        <v>48</v>
      </c>
      <c r="B22" s="3" t="s">
        <v>22</v>
      </c>
      <c r="C22" s="62">
        <v>4</v>
      </c>
    </row>
    <row r="23" spans="1:3">
      <c r="A23" s="2" t="s">
        <v>49</v>
      </c>
      <c r="B23" s="3" t="s">
        <v>23</v>
      </c>
      <c r="C23" s="62">
        <v>4</v>
      </c>
    </row>
    <row r="24" spans="1:3">
      <c r="A24" s="2" t="s">
        <v>48</v>
      </c>
      <c r="B24" s="3" t="s">
        <v>24</v>
      </c>
      <c r="C24" s="62">
        <v>5</v>
      </c>
    </row>
    <row r="25" spans="1:3">
      <c r="A25" s="2" t="s">
        <v>48</v>
      </c>
      <c r="B25" s="3" t="s">
        <v>25</v>
      </c>
      <c r="C25" s="62">
        <v>5</v>
      </c>
    </row>
    <row r="26" spans="1:3">
      <c r="A26" s="2" t="s">
        <v>48</v>
      </c>
      <c r="B26" s="3" t="s">
        <v>26</v>
      </c>
      <c r="C26" s="62">
        <v>2</v>
      </c>
    </row>
    <row r="27" spans="1:3">
      <c r="A27" s="2" t="s">
        <v>50</v>
      </c>
      <c r="B27" s="3" t="s">
        <v>27</v>
      </c>
      <c r="C27" s="62">
        <v>3</v>
      </c>
    </row>
    <row r="28" spans="1:3">
      <c r="A28" s="2" t="s">
        <v>50</v>
      </c>
      <c r="B28" s="3" t="s">
        <v>28</v>
      </c>
      <c r="C28" s="62">
        <v>1</v>
      </c>
    </row>
    <row r="29" spans="1:3">
      <c r="A29" s="2" t="s">
        <v>48</v>
      </c>
      <c r="B29" s="3" t="s">
        <v>29</v>
      </c>
      <c r="C29" s="62">
        <v>3</v>
      </c>
    </row>
    <row r="30" spans="1:3">
      <c r="A30" s="2" t="s">
        <v>48</v>
      </c>
      <c r="B30" s="3" t="s">
        <v>30</v>
      </c>
      <c r="C30" s="62">
        <v>4</v>
      </c>
    </row>
    <row r="31" spans="1:3">
      <c r="A31" s="2" t="s">
        <v>50</v>
      </c>
      <c r="B31" s="3" t="s">
        <v>31</v>
      </c>
      <c r="C31" s="62">
        <v>3</v>
      </c>
    </row>
    <row r="32" spans="1:3">
      <c r="A32" s="2" t="s">
        <v>48</v>
      </c>
      <c r="B32" s="3" t="s">
        <v>35</v>
      </c>
      <c r="C32" s="62">
        <v>4</v>
      </c>
    </row>
    <row r="33" spans="1:3" ht="15.75" thickBot="1">
      <c r="A33" s="2" t="s">
        <v>50</v>
      </c>
      <c r="B33" s="4" t="s">
        <v>36</v>
      </c>
      <c r="C33" s="66">
        <v>4</v>
      </c>
    </row>
  </sheetData>
  <autoFilter ref="A1:C33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biotest_aleket</vt:lpstr>
      <vt:lpstr>biotest_analizise</vt:lpstr>
    </vt:vector>
  </TitlesOfParts>
  <Company>ARO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</dc:creator>
  <cp:lastModifiedBy>aro</cp:lastModifiedBy>
  <dcterms:created xsi:type="dcterms:W3CDTF">2012-02-15T14:45:40Z</dcterms:created>
  <dcterms:modified xsi:type="dcterms:W3CDTF">2012-04-05T11:23:26Z</dcterms:modified>
</cp:coreProperties>
</file>