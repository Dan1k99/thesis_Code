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9320" windowHeight="12780" activeTab="1"/>
  </bookViews>
  <sheets>
    <sheet name="Sheet1" sheetId="1" r:id="rId1"/>
    <sheet name="kriging" sheetId="2" r:id="rId2"/>
    <sheet name="patren" sheetId="3" r:id="rId3"/>
  </sheets>
  <calcPr calcId="125725"/>
</workbook>
</file>

<file path=xl/calcChain.xml><?xml version="1.0" encoding="utf-8"?>
<calcChain xmlns="http://schemas.openxmlformats.org/spreadsheetml/2006/main">
  <c r="K7" i="1"/>
  <c r="K2"/>
  <c r="K3"/>
  <c r="K4"/>
  <c r="K5"/>
  <c r="K6"/>
  <c r="K8"/>
  <c r="K9"/>
  <c r="K10"/>
  <c r="K11"/>
  <c r="K12"/>
  <c r="K13"/>
  <c r="K14"/>
  <c r="K15"/>
  <c r="K16"/>
</calcChain>
</file>

<file path=xl/sharedStrings.xml><?xml version="1.0" encoding="utf-8"?>
<sst xmlns="http://schemas.openxmlformats.org/spreadsheetml/2006/main" count="355" uniqueCount="170">
  <si>
    <t xml:space="preserve">שם </t>
  </si>
  <si>
    <t>חלקה</t>
  </si>
  <si>
    <r>
      <t xml:space="preserve">סוג </t>
    </r>
    <r>
      <rPr>
        <sz val="11"/>
        <color theme="1"/>
        <rFont val="Calibri"/>
        <family val="2"/>
      </rPr>
      <t>kriging</t>
    </r>
  </si>
  <si>
    <t>מודל נבחר</t>
  </si>
  <si>
    <t>בחירת תוכנה</t>
  </si>
  <si>
    <t>,leg size</t>
  </si>
  <si>
    <t xml:space="preserve">בחירה שלי </t>
  </si>
  <si>
    <t>Leg size</t>
  </si>
  <si>
    <t>range</t>
  </si>
  <si>
    <r>
      <t xml:space="preserve">בחירה שלי </t>
    </r>
    <r>
      <rPr>
        <sz val="11"/>
        <color theme="1"/>
        <rFont val="Calibri"/>
        <family val="2"/>
      </rPr>
      <t>range</t>
    </r>
  </si>
  <si>
    <t>nugget</t>
  </si>
  <si>
    <t>p.sill</t>
  </si>
  <si>
    <t>שם שכבה</t>
  </si>
  <si>
    <t>universal</t>
  </si>
  <si>
    <t>spherical</t>
  </si>
  <si>
    <t>חולתה מערב</t>
  </si>
  <si>
    <t>nugget/sill</t>
  </si>
  <si>
    <t>RMS</t>
  </si>
  <si>
    <t xml:space="preserve"> Anisotropy spherical</t>
  </si>
  <si>
    <t>m. range-355 direction 338.1</t>
  </si>
  <si>
    <t>order of trend</t>
  </si>
  <si>
    <t>constant</t>
  </si>
  <si>
    <t>first</t>
  </si>
  <si>
    <t>בית הלל 3 מזרח</t>
  </si>
  <si>
    <t>m. range-355 direction 112</t>
  </si>
  <si>
    <t>יפעת חלקה ו</t>
  </si>
  <si>
    <t>m. range-355 direction114</t>
  </si>
  <si>
    <t>sphrical</t>
  </si>
  <si>
    <t>בחירת תוכנה2</t>
  </si>
  <si>
    <t>שם קובץ</t>
  </si>
  <si>
    <t>סוג kriging</t>
  </si>
  <si>
    <t>סוג מודל</t>
  </si>
  <si>
    <t>ידני leg</t>
  </si>
  <si>
    <t>תוכנה range</t>
  </si>
  <si>
    <t>ידני range</t>
  </si>
  <si>
    <t>מספר דגימות</t>
  </si>
  <si>
    <t>mean</t>
  </si>
  <si>
    <t>rms</t>
  </si>
  <si>
    <t>rms standart</t>
  </si>
  <si>
    <t>Average standart Error</t>
  </si>
  <si>
    <t>mean standart</t>
  </si>
  <si>
    <t>דגם פיזור</t>
  </si>
  <si>
    <t>הערות</t>
  </si>
  <si>
    <t>משק</t>
  </si>
  <si>
    <t xml:space="preserve">חלקה ב' </t>
  </si>
  <si>
    <t>חוות עדן</t>
  </si>
  <si>
    <t>eden_B_krig</t>
  </si>
  <si>
    <t xml:space="preserve">ord.predict </t>
  </si>
  <si>
    <t xml:space="preserve">Legתוכנה legמס  </t>
  </si>
  <si>
    <t>25|12</t>
  </si>
  <si>
    <t>ללא שינוי</t>
  </si>
  <si>
    <t>מקבץ במרכז (מז-מע)בדרום החלקה+מקבץ קטן יותר מערבית למקבץ הגדול</t>
  </si>
  <si>
    <t>eden_B_expon</t>
  </si>
  <si>
    <t>exponential</t>
  </si>
  <si>
    <t>שונות בסמיואריוגרם עולה עד 110 ואחכ" השונות מפוזרת</t>
  </si>
  <si>
    <t>יפעת</t>
  </si>
  <si>
    <t>קישון 1</t>
  </si>
  <si>
    <t>yifat_Kish_krig</t>
  </si>
  <si>
    <t>44|12</t>
  </si>
  <si>
    <t>כיווני -שיבוש דרגה 3 במזרח וצפון מזרח לחלקה</t>
  </si>
  <si>
    <t>סמיואריוגרם לא מתייצב (un-bounded).שונות אקראיתמ-240 מטר</t>
  </si>
  <si>
    <t>circular</t>
  </si>
  <si>
    <t>yifat_Kish_circ</t>
  </si>
  <si>
    <t>קישון1</t>
  </si>
  <si>
    <t>יגור</t>
  </si>
  <si>
    <t>ygr_90_krig</t>
  </si>
  <si>
    <t>19|12</t>
  </si>
  <si>
    <t>מקבץ קטן בדרום החלקה.</t>
  </si>
  <si>
    <t>ygr_72_krig</t>
  </si>
  <si>
    <t>11|12</t>
  </si>
  <si>
    <t>20|12</t>
  </si>
  <si>
    <t>שיבוש לאורך שורה במרכז החלקה עם "התרחבות" בשוליים הצפוני והדרומי של החלקה  +מקבצים קטנים ממערב לשיבוש הכיווני בדרום החלקה.</t>
  </si>
  <si>
    <t>עין חרוד איחוד</t>
  </si>
  <si>
    <t>עמק ד'</t>
  </si>
  <si>
    <t>emek_D_krig</t>
  </si>
  <si>
    <t>82|12</t>
  </si>
  <si>
    <t>שיבוש חזק בצד מזרח של החלקה.התפשטות במרכז החלקה למערב החלקה</t>
  </si>
  <si>
    <t>emek_D_exp</t>
  </si>
  <si>
    <t>emek_D_circ</t>
  </si>
  <si>
    <t>חלקה ח'</t>
  </si>
  <si>
    <t>ehe2_Het_krig</t>
  </si>
  <si>
    <t>74|12</t>
  </si>
  <si>
    <t>35|12</t>
  </si>
  <si>
    <t>חלקה נגועה באופן חמור (כל החלקה 2-3)</t>
  </si>
  <si>
    <t>מרחקי מדידה גדולות בצד מזרחי (כל 25 מטר לאורך).נקודות ה-0 "חשודות".</t>
  </si>
  <si>
    <t>ehe2_Het_exp</t>
  </si>
  <si>
    <t>גבע</t>
  </si>
  <si>
    <t>emek202_Krig</t>
  </si>
  <si>
    <t>28|12</t>
  </si>
  <si>
    <t xml:space="preserve">כל החלקה משובשת באופן חמור (דרגה 3) </t>
  </si>
  <si>
    <t>אחר 170 מטר שונות אקראית</t>
  </si>
  <si>
    <t>emek202_exp</t>
  </si>
  <si>
    <t>Geva12_Krig</t>
  </si>
  <si>
    <t>80|12</t>
  </si>
  <si>
    <t>נגיעות נמוכה מאד ואקראית בכל החלקה</t>
  </si>
  <si>
    <t>כמעט ואין שונות מרחבית.</t>
  </si>
  <si>
    <t>גבת</t>
  </si>
  <si>
    <t>85|12</t>
  </si>
  <si>
    <t>חוות גדש</t>
  </si>
  <si>
    <t>Gadash20_krig</t>
  </si>
  <si>
    <t>30|12</t>
  </si>
  <si>
    <t>מקבץ גדול בדרום מערב החלקה ועוד מקבץ קטן בצפון החלקה</t>
  </si>
  <si>
    <t>מקבץ קשור לגונדולה</t>
  </si>
  <si>
    <t>Gadash20_gauss</t>
  </si>
  <si>
    <t>Gaussion</t>
  </si>
  <si>
    <t>נגיעות כמעט אחידה קצה מזרחי מקבץ יותר נקי</t>
  </si>
  <si>
    <t>מעט נקודות.אין שינוי מרחבי.</t>
  </si>
  <si>
    <t>כפר החורש</t>
  </si>
  <si>
    <t>מקבץ קטן בצפון מזרח החלקה.</t>
  </si>
  <si>
    <t>Kfar_Hrsh_krig</t>
  </si>
  <si>
    <t>חלקה ו'</t>
  </si>
  <si>
    <t>yifat_Vav_Ratio_Q</t>
  </si>
  <si>
    <t>40|12</t>
  </si>
  <si>
    <t>שיבוש חזק בצד מערב. יורד בהדרגתיות בכיוון מזרח</t>
  </si>
  <si>
    <t>yifat_Vav_krig</t>
  </si>
  <si>
    <t>Rational Quadratic</t>
  </si>
  <si>
    <t>שיבוש לאורך שורה בצפון החלקה.בדרום מזרח החלקה מקבץ עלקת ומקבץ נקי בדרום מערב</t>
  </si>
  <si>
    <t>מקבץ קשור לגונדולה. שונות מרחבית על-פי תוכנה כמעט עד סוף החלקה (un bounded)</t>
  </si>
  <si>
    <t>גדש דן</t>
  </si>
  <si>
    <t>BH_3E_krig</t>
  </si>
  <si>
    <t>נגיעות אקראית בחלקה.נגיעות קצת יותר חמורה בצפון.</t>
  </si>
  <si>
    <t>חולתה</t>
  </si>
  <si>
    <t>HolataW_krig</t>
  </si>
  <si>
    <t>53.6|12</t>
  </si>
  <si>
    <t>HolataW_Ratio_Q</t>
  </si>
  <si>
    <t>מקבץ</t>
  </si>
  <si>
    <t>כיווני צידי</t>
  </si>
  <si>
    <t>מקבץ קטן</t>
  </si>
  <si>
    <t>כיווני לאורך שורה</t>
  </si>
  <si>
    <t>אקראי</t>
  </si>
  <si>
    <t>אחיד</t>
  </si>
  <si>
    <t>דגמי פיזור</t>
  </si>
  <si>
    <t>nugget/p.sill</t>
  </si>
  <si>
    <t>לאורך שורה</t>
  </si>
  <si>
    <t xml:space="preserve">על-פי סמיואריוגרם ו-rangeתוכנה: un-bounded </t>
  </si>
  <si>
    <t>10|12</t>
  </si>
  <si>
    <t>גד"ש דן</t>
  </si>
  <si>
    <t>נמה_24</t>
  </si>
  <si>
    <t>Name_24_krig</t>
  </si>
  <si>
    <t>Name_24_circ</t>
  </si>
  <si>
    <t>1.4|12</t>
  </si>
  <si>
    <t>שיבוש צידי בצפון מזרח החלקה.מקבץ קטן בדרום מזרח החלקה</t>
  </si>
  <si>
    <t>עמק ד</t>
  </si>
  <si>
    <t>חומרת שיבוש [2+3אחוז]</t>
  </si>
  <si>
    <t>כפה"ח 37</t>
  </si>
  <si>
    <t>העמק 202</t>
  </si>
  <si>
    <t>גבע 12</t>
  </si>
  <si>
    <t>העמק 307</t>
  </si>
  <si>
    <t>סה"כ</t>
  </si>
  <si>
    <t>54(14)</t>
  </si>
  <si>
    <t>109(28)</t>
  </si>
  <si>
    <t>5(1)</t>
  </si>
  <si>
    <t>217(57)</t>
  </si>
  <si>
    <t>ממוצע כללי</t>
  </si>
  <si>
    <t>41(15)</t>
  </si>
  <si>
    <t>136(50)</t>
  </si>
  <si>
    <t>40(15)</t>
  </si>
  <si>
    <t>53(20)</t>
  </si>
  <si>
    <t>10(1)</t>
  </si>
  <si>
    <t>295(41)</t>
  </si>
  <si>
    <t>269(38)</t>
  </si>
  <si>
    <t>143(20)</t>
  </si>
  <si>
    <t>56(11)</t>
  </si>
  <si>
    <t>277(55)</t>
  </si>
  <si>
    <t>101(20)</t>
  </si>
  <si>
    <t>69(14)</t>
  </si>
  <si>
    <t>משולש</t>
  </si>
  <si>
    <t>יגור משולש</t>
  </si>
  <si>
    <t>יגור מזרח מזרח</t>
  </si>
  <si>
    <t>חוות גד"ש 20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</si>
</sst>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0"/>
      <color theme="1"/>
      <name val="Arial"/>
      <family val="2"/>
      <charset val="177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>
      <alignment horizontal="right" vertical="center" wrapText="1" readingOrder="2"/>
    </xf>
    <xf numFmtId="0" fontId="2" fillId="0" borderId="3" xfId="0" applyFont="1" applyFill="1" applyBorder="1" applyAlignment="1">
      <alignment horizontal="right" vertical="center" wrapText="1" readingOrder="2"/>
    </xf>
    <xf numFmtId="0" fontId="2" fillId="0" borderId="4" xfId="0" applyFont="1" applyFill="1" applyBorder="1" applyAlignment="1">
      <alignment horizontal="right" vertical="center" wrapText="1" readingOrder="2"/>
    </xf>
    <xf numFmtId="0" fontId="2" fillId="0" borderId="0" xfId="0" applyFont="1" applyFill="1" applyBorder="1" applyAlignment="1">
      <alignment horizontal="lef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164" fontId="1" fillId="0" borderId="4" xfId="0" applyNumberFormat="1" applyFont="1" applyBorder="1" applyAlignment="1">
      <alignment horizontal="right" vertical="center" wrapText="1" readingOrder="2"/>
    </xf>
    <xf numFmtId="164" fontId="1" fillId="0" borderId="1" xfId="0" applyNumberFormat="1" applyFont="1" applyBorder="1" applyAlignment="1">
      <alignment horizontal="right" vertical="center" wrapText="1" readingOrder="2"/>
    </xf>
    <xf numFmtId="164" fontId="2" fillId="0" borderId="2" xfId="0" applyNumberFormat="1" applyFont="1" applyBorder="1" applyAlignment="1">
      <alignment horizontal="right" vertical="center" wrapText="1" readingOrder="2"/>
    </xf>
    <xf numFmtId="164" fontId="0" fillId="0" borderId="0" xfId="0" applyNumberFormat="1" applyAlignment="1">
      <alignment vertical="center"/>
    </xf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0">
    <dxf>
      <alignment horizontal="general" vertical="center" textRotation="0" wrapText="0" indent="0" relativeIndent="0" justifyLastLine="0" shrinkToFit="0" mergeCell="0" readingOrder="0"/>
    </dxf>
    <dxf>
      <numFmt numFmtId="164" formatCode="0.000"/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relativeIndent="0" justifyLastLine="0" shrinkToFit="0" mergeCell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right" vertical="center" textRotation="0" wrapText="1" indent="0" relativeIndent="0" justifyLastLine="0" shrinkToFit="0" mergeCell="0" readingOrder="2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center" textRotation="0" wrapText="1" indent="0" relativeIndent="0" justifyLastLine="0" shrinkToFit="0" mergeCell="0" readingOrder="2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relativeIndent="0" justifyLastLine="0" shrinkToFit="0" mergeCell="0" readingOrder="2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center" textRotation="0" wrapText="1" indent="0" relativeIndent="0" justifyLastLine="0" shrinkToFit="0" mergeCell="0" readingOrder="2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M16" totalsRowShown="0" headerRowDxfId="9" tableBorderDxfId="8">
  <autoFilter ref="A1:M16"/>
  <tableColumns count="13">
    <tableColumn id="1" name="שם " dataDxfId="7"/>
    <tableColumn id="2" name="סוג kriging" dataDxfId="6"/>
    <tableColumn id="3" name="order of trend" dataDxfId="5"/>
    <tableColumn id="4" name="מודל נבחר" dataDxfId="4"/>
    <tableColumn id="5" name="בחירת תוכנה" dataDxfId="3"/>
    <tableColumn id="6" name="בחירה שלי "/>
    <tableColumn id="7" name="בחירת תוכנה2"/>
    <tableColumn id="8" name="בחירה שלי range" dataDxfId="2"/>
    <tableColumn id="9" name="nugget"/>
    <tableColumn id="10" name="p.sill"/>
    <tableColumn id="11" name="nugget/sill" dataDxfId="1">
      <calculatedColumnFormula>Table1[[#This Row],[nugget]]/Table1[[#This Row],[p.sill]]</calculatedColumnFormula>
    </tableColumn>
    <tableColumn id="12" name="RMS"/>
    <tableColumn id="13" name="שם שכבה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rightToLeft="1" workbookViewId="0">
      <selection activeCell="M18" sqref="M18"/>
    </sheetView>
  </sheetViews>
  <sheetFormatPr defaultRowHeight="12.75"/>
  <cols>
    <col min="2" max="2" width="12.28515625" customWidth="1"/>
    <col min="3" max="3" width="15.5703125" customWidth="1"/>
    <col min="4" max="4" width="11.85546875" customWidth="1"/>
    <col min="5" max="5" width="14" customWidth="1"/>
    <col min="6" max="6" width="12.42578125" customWidth="1"/>
    <col min="7" max="7" width="15.140625" customWidth="1"/>
    <col min="8" max="8" width="17.7109375" customWidth="1"/>
    <col min="9" max="9" width="9.28515625" customWidth="1"/>
    <col min="11" max="11" width="12.7109375" style="20" customWidth="1"/>
    <col min="12" max="12" width="10.7109375" customWidth="1"/>
    <col min="13" max="13" width="11.28515625" customWidth="1"/>
  </cols>
  <sheetData>
    <row r="1" spans="1:13" ht="15">
      <c r="A1" s="12" t="s">
        <v>0</v>
      </c>
      <c r="B1" s="12" t="s">
        <v>2</v>
      </c>
      <c r="C1" s="12" t="s">
        <v>20</v>
      </c>
      <c r="D1" s="12" t="s">
        <v>3</v>
      </c>
      <c r="E1" s="13" t="s">
        <v>4</v>
      </c>
      <c r="F1" s="13" t="s">
        <v>6</v>
      </c>
      <c r="G1" s="13" t="s">
        <v>28</v>
      </c>
      <c r="H1" s="12" t="s">
        <v>9</v>
      </c>
      <c r="I1" s="14" t="s">
        <v>10</v>
      </c>
      <c r="J1" s="14" t="s">
        <v>11</v>
      </c>
      <c r="K1" s="16" t="s">
        <v>16</v>
      </c>
      <c r="L1" s="15" t="s">
        <v>17</v>
      </c>
      <c r="M1" s="13" t="s">
        <v>12</v>
      </c>
    </row>
    <row r="2" spans="1:13" ht="15.75" thickBot="1">
      <c r="A2" s="1" t="s">
        <v>1</v>
      </c>
      <c r="B2" s="1"/>
      <c r="C2" s="1"/>
      <c r="D2" s="1"/>
      <c r="E2" s="2" t="s">
        <v>5</v>
      </c>
      <c r="F2" s="2" t="s">
        <v>7</v>
      </c>
      <c r="G2" s="2" t="s">
        <v>8</v>
      </c>
      <c r="H2" s="1"/>
      <c r="I2" s="3"/>
      <c r="J2" s="3"/>
      <c r="K2" s="17" t="e">
        <f>Table1[[#This Row],[nugget]]/Table1[[#This Row],[p.sill]]</f>
        <v>#DIV/0!</v>
      </c>
      <c r="L2" s="2"/>
      <c r="M2" s="4"/>
    </row>
    <row r="3" spans="1:13" ht="30.75" thickBot="1">
      <c r="A3" s="3" t="s">
        <v>15</v>
      </c>
      <c r="B3" s="2" t="s">
        <v>13</v>
      </c>
      <c r="C3" s="2" t="s">
        <v>21</v>
      </c>
      <c r="D3" s="2" t="s">
        <v>14</v>
      </c>
      <c r="E3" s="4">
        <v>53.59</v>
      </c>
      <c r="F3" s="4"/>
      <c r="G3" s="4">
        <v>635</v>
      </c>
      <c r="H3" s="4"/>
      <c r="I3" s="4">
        <v>0.2044</v>
      </c>
      <c r="J3" s="4">
        <v>1.119</v>
      </c>
      <c r="K3" s="18">
        <f>Table1[[#This Row],[nugget]]/Table1[[#This Row],[p.sill]]</f>
        <v>0.18266309204647005</v>
      </c>
      <c r="L3" s="4">
        <v>0.38469999999999999</v>
      </c>
      <c r="M3" s="4"/>
    </row>
    <row r="4" spans="1:13" ht="30.75" thickBot="1">
      <c r="A4" s="3" t="s">
        <v>15</v>
      </c>
      <c r="B4" s="2" t="s">
        <v>13</v>
      </c>
      <c r="C4" s="2" t="s">
        <v>21</v>
      </c>
      <c r="D4" s="2" t="s">
        <v>14</v>
      </c>
      <c r="E4" s="4"/>
      <c r="F4" s="4">
        <v>30</v>
      </c>
      <c r="G4" s="4">
        <v>355</v>
      </c>
      <c r="H4" s="4"/>
      <c r="I4" s="4">
        <v>0.16</v>
      </c>
      <c r="J4" s="4">
        <v>0.75700000000000001</v>
      </c>
      <c r="K4" s="18">
        <f>Table1[[#This Row],[nugget]]/Table1[[#This Row],[p.sill]]</f>
        <v>0.21136063408190225</v>
      </c>
      <c r="L4" s="4"/>
      <c r="M4" s="4"/>
    </row>
    <row r="5" spans="1:13" ht="30.75" thickBot="1">
      <c r="A5" s="3" t="s">
        <v>15</v>
      </c>
      <c r="B5" s="2" t="s">
        <v>13</v>
      </c>
      <c r="C5" s="2" t="s">
        <v>21</v>
      </c>
      <c r="D5" s="2" t="s">
        <v>14</v>
      </c>
      <c r="E5" s="4"/>
      <c r="F5" s="4">
        <v>30</v>
      </c>
      <c r="G5" s="4"/>
      <c r="H5" s="4">
        <v>180</v>
      </c>
      <c r="I5" s="4">
        <v>7.6700000000000004E-2</v>
      </c>
      <c r="J5" s="4">
        <v>0.69299999999999995</v>
      </c>
      <c r="K5" s="18">
        <f>Table1[[#This Row],[nugget]]/Table1[[#This Row],[p.sill]]</f>
        <v>0.1106782106782107</v>
      </c>
      <c r="L5" s="4">
        <v>0.33139999999999997</v>
      </c>
      <c r="M5" s="4"/>
    </row>
    <row r="6" spans="1:13" ht="30.75" thickBot="1">
      <c r="A6" s="3" t="s">
        <v>15</v>
      </c>
      <c r="B6" s="2" t="s">
        <v>13</v>
      </c>
      <c r="C6" s="2" t="s">
        <v>21</v>
      </c>
      <c r="D6" s="2" t="s">
        <v>18</v>
      </c>
      <c r="E6" s="4"/>
      <c r="F6" s="4">
        <v>30</v>
      </c>
      <c r="G6" s="4" t="s">
        <v>19</v>
      </c>
      <c r="H6" s="4">
        <v>180</v>
      </c>
      <c r="I6" s="4">
        <v>9.7100000000000006E-2</v>
      </c>
      <c r="J6" s="4">
        <v>0.72399999999999998</v>
      </c>
      <c r="K6" s="18">
        <f>Table1[[#This Row],[nugget]]/Table1[[#This Row],[p.sill]]</f>
        <v>0.13411602209944753</v>
      </c>
      <c r="L6" s="4">
        <v>0.32069999999999999</v>
      </c>
      <c r="M6" s="4"/>
    </row>
    <row r="7" spans="1:13" ht="30.75" thickBot="1">
      <c r="A7" s="3" t="s">
        <v>15</v>
      </c>
      <c r="B7" s="2" t="s">
        <v>13</v>
      </c>
      <c r="C7" s="4" t="s">
        <v>22</v>
      </c>
      <c r="D7" s="4" t="s">
        <v>14</v>
      </c>
      <c r="E7" s="4">
        <v>16.175000000000001</v>
      </c>
      <c r="F7" s="5"/>
      <c r="G7" s="4">
        <v>100</v>
      </c>
      <c r="H7" s="4"/>
      <c r="I7" s="4">
        <v>0.09</v>
      </c>
      <c r="J7" s="4">
        <v>0.35</v>
      </c>
      <c r="K7" s="18">
        <f>Table1[[#This Row],[nugget]]/Table1[[#This Row],[p.sill]]</f>
        <v>0.25714285714285717</v>
      </c>
      <c r="L7" s="4">
        <v>0.33</v>
      </c>
      <c r="M7" s="4"/>
    </row>
    <row r="8" spans="1:13" ht="30.75" thickBot="1">
      <c r="A8" s="3" t="s">
        <v>15</v>
      </c>
      <c r="B8" s="2" t="s">
        <v>13</v>
      </c>
      <c r="C8" s="4" t="s">
        <v>22</v>
      </c>
      <c r="D8" s="4" t="s">
        <v>14</v>
      </c>
      <c r="E8" s="5"/>
      <c r="F8" s="4">
        <v>30</v>
      </c>
      <c r="G8" s="4"/>
      <c r="H8" s="4">
        <v>180</v>
      </c>
      <c r="I8" s="4">
        <v>0.30599999999999999</v>
      </c>
      <c r="J8" s="4">
        <v>0.14299999999999999</v>
      </c>
      <c r="K8" s="18">
        <f>Table1[[#This Row],[nugget]]/Table1[[#This Row],[p.sill]]</f>
        <v>2.13986013986014</v>
      </c>
      <c r="L8" s="4">
        <v>0.33</v>
      </c>
      <c r="M8" s="4"/>
    </row>
    <row r="9" spans="1:13" ht="29.25" thickBot="1">
      <c r="A9" s="1" t="s">
        <v>23</v>
      </c>
      <c r="B9" s="2" t="s">
        <v>13</v>
      </c>
      <c r="C9" s="4" t="s">
        <v>21</v>
      </c>
      <c r="D9" s="4" t="s">
        <v>14</v>
      </c>
      <c r="E9" s="4">
        <v>82</v>
      </c>
      <c r="F9" s="4"/>
      <c r="G9" s="4">
        <v>977</v>
      </c>
      <c r="H9" s="4"/>
      <c r="I9" s="4">
        <v>0.3</v>
      </c>
      <c r="J9" s="4">
        <v>5.6899999999999999E-2</v>
      </c>
      <c r="K9" s="18">
        <f>Table1[[#This Row],[nugget]]/Table1[[#This Row],[p.sill]]</f>
        <v>5.272407732864675</v>
      </c>
      <c r="L9" s="4"/>
      <c r="M9" s="4"/>
    </row>
    <row r="10" spans="1:13" ht="29.25" thickBot="1">
      <c r="A10" s="1" t="s">
        <v>23</v>
      </c>
      <c r="B10" s="2" t="s">
        <v>13</v>
      </c>
      <c r="C10" s="4" t="s">
        <v>21</v>
      </c>
      <c r="D10" s="4" t="s">
        <v>14</v>
      </c>
      <c r="E10" s="4"/>
      <c r="F10" s="4">
        <v>30</v>
      </c>
      <c r="G10" s="4"/>
      <c r="H10" s="4">
        <v>80</v>
      </c>
      <c r="I10" s="4">
        <v>0.1643</v>
      </c>
      <c r="J10" s="4">
        <v>0.1656</v>
      </c>
      <c r="K10" s="18">
        <f>Table1[[#This Row],[nugget]]/Table1[[#This Row],[p.sill]]</f>
        <v>0.99214975845410636</v>
      </c>
      <c r="L10" s="4">
        <v>0.43669999999999998</v>
      </c>
      <c r="M10" s="4"/>
    </row>
    <row r="11" spans="1:13" ht="29.25" thickBot="1">
      <c r="A11" s="1" t="s">
        <v>23</v>
      </c>
      <c r="B11" s="2" t="s">
        <v>13</v>
      </c>
      <c r="C11" s="4" t="s">
        <v>21</v>
      </c>
      <c r="D11" s="6" t="s">
        <v>18</v>
      </c>
      <c r="E11" s="7"/>
      <c r="F11" s="8">
        <v>30</v>
      </c>
      <c r="G11" s="5" t="s">
        <v>24</v>
      </c>
      <c r="H11" s="9">
        <v>80</v>
      </c>
      <c r="I11" s="9">
        <v>0.22689999999999999</v>
      </c>
      <c r="J11" s="9">
        <v>0.114</v>
      </c>
      <c r="K11" s="19">
        <f>Table1[[#This Row],[nugget]]/Table1[[#This Row],[p.sill]]</f>
        <v>1.9903508771929823</v>
      </c>
      <c r="L11" s="9">
        <v>0.4531</v>
      </c>
      <c r="M11" s="5"/>
    </row>
    <row r="12" spans="1:13" ht="29.25" thickBot="1">
      <c r="A12" s="10" t="s">
        <v>25</v>
      </c>
      <c r="B12" s="2" t="s">
        <v>13</v>
      </c>
      <c r="C12" s="4" t="s">
        <v>21</v>
      </c>
      <c r="D12" s="8" t="s">
        <v>14</v>
      </c>
      <c r="E12" s="5">
        <v>40</v>
      </c>
      <c r="F12" s="5"/>
      <c r="G12" s="5">
        <v>247</v>
      </c>
      <c r="H12" s="5"/>
      <c r="I12" s="9">
        <v>4.3999999999999997E-2</v>
      </c>
      <c r="J12" s="9">
        <v>0.64400000000000002</v>
      </c>
      <c r="K12" s="19">
        <f>Table1[[#This Row],[nugget]]/Table1[[#This Row],[p.sill]]</f>
        <v>6.8322981366459618E-2</v>
      </c>
      <c r="L12" s="5"/>
      <c r="M12" s="5"/>
    </row>
    <row r="13" spans="1:13" ht="29.25" thickBot="1">
      <c r="A13" s="10" t="s">
        <v>25</v>
      </c>
      <c r="B13" s="2" t="s">
        <v>13</v>
      </c>
      <c r="C13" s="4" t="s">
        <v>21</v>
      </c>
      <c r="D13" s="8" t="s">
        <v>14</v>
      </c>
      <c r="E13" s="5"/>
      <c r="F13" s="5">
        <v>30</v>
      </c>
      <c r="G13" s="5"/>
      <c r="H13" s="5">
        <v>180</v>
      </c>
      <c r="I13" s="8">
        <v>0</v>
      </c>
      <c r="J13" s="9">
        <v>0.64200000000000002</v>
      </c>
      <c r="K13" s="19">
        <f>Table1[[#This Row],[nugget]]/Table1[[#This Row],[p.sill]]</f>
        <v>0</v>
      </c>
      <c r="L13" s="8">
        <v>0.254</v>
      </c>
      <c r="M13" s="5"/>
    </row>
    <row r="14" spans="1:13" ht="29.25" thickBot="1">
      <c r="A14" s="10" t="s">
        <v>25</v>
      </c>
      <c r="B14" s="2" t="s">
        <v>13</v>
      </c>
      <c r="C14" s="4" t="s">
        <v>21</v>
      </c>
      <c r="D14" s="6" t="s">
        <v>18</v>
      </c>
      <c r="E14" s="5"/>
      <c r="F14" s="11">
        <v>30</v>
      </c>
      <c r="G14" s="4" t="s">
        <v>26</v>
      </c>
      <c r="H14" s="5">
        <v>180</v>
      </c>
      <c r="I14" s="5">
        <v>4.1999999999999997E-3</v>
      </c>
      <c r="J14" s="5">
        <v>0.70499999999999996</v>
      </c>
      <c r="K14" s="19">
        <f>Table1[[#This Row],[nugget]]/Table1[[#This Row],[p.sill]]</f>
        <v>5.9574468085106386E-3</v>
      </c>
      <c r="L14" s="5">
        <v>0.252</v>
      </c>
      <c r="M14" s="5"/>
    </row>
    <row r="15" spans="1:13" ht="29.25" thickBot="1">
      <c r="A15" s="10" t="s">
        <v>25</v>
      </c>
      <c r="B15" s="2" t="s">
        <v>13</v>
      </c>
      <c r="C15" s="9" t="s">
        <v>22</v>
      </c>
      <c r="D15" s="8" t="s">
        <v>27</v>
      </c>
      <c r="E15">
        <v>20</v>
      </c>
      <c r="G15">
        <v>130</v>
      </c>
      <c r="I15" s="8">
        <v>8.1699999999999995E-2</v>
      </c>
      <c r="J15" s="8">
        <v>0.11700000000000001</v>
      </c>
      <c r="K15" s="20">
        <f>Table1[[#This Row],[nugget]]/Table1[[#This Row],[p.sill]]</f>
        <v>0.69829059829059825</v>
      </c>
      <c r="L15" s="8">
        <v>0.27800000000000002</v>
      </c>
    </row>
    <row r="16" spans="1:13" ht="29.25" thickBot="1">
      <c r="A16" s="10" t="s">
        <v>25</v>
      </c>
      <c r="B16" s="2" t="s">
        <v>13</v>
      </c>
      <c r="C16" s="9" t="s">
        <v>22</v>
      </c>
      <c r="D16" s="8" t="s">
        <v>27</v>
      </c>
      <c r="F16">
        <v>30</v>
      </c>
      <c r="H16">
        <v>180</v>
      </c>
      <c r="I16">
        <v>0.114</v>
      </c>
      <c r="J16">
        <v>8.5000000000000006E-2</v>
      </c>
      <c r="K16" s="20">
        <f>Table1[[#This Row],[nugget]]/Table1[[#This Row],[p.sill]]</f>
        <v>1.3411764705882352</v>
      </c>
      <c r="L16">
        <v>0.30099999999999999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U57"/>
  <sheetViews>
    <sheetView rightToLeft="1" tabSelected="1" topLeftCell="A19" zoomScaleNormal="100" workbookViewId="0">
      <selection activeCell="A37" sqref="A37"/>
    </sheetView>
  </sheetViews>
  <sheetFormatPr defaultRowHeight="12.75"/>
  <cols>
    <col min="9" max="9" width="10.42578125" customWidth="1"/>
    <col min="10" max="10" width="11.140625" customWidth="1"/>
    <col min="14" max="14" width="10" customWidth="1"/>
    <col min="17" max="17" width="15.42578125" customWidth="1"/>
    <col min="20" max="20" width="44.85546875" customWidth="1"/>
    <col min="21" max="21" width="20.42578125" customWidth="1"/>
  </cols>
  <sheetData>
    <row r="3" spans="1:21">
      <c r="A3" t="s">
        <v>43</v>
      </c>
      <c r="B3" t="s">
        <v>1</v>
      </c>
      <c r="C3" t="s">
        <v>41</v>
      </c>
      <c r="D3" t="s">
        <v>29</v>
      </c>
      <c r="E3" t="s">
        <v>30</v>
      </c>
      <c r="F3" t="s">
        <v>31</v>
      </c>
      <c r="G3" s="22" t="s">
        <v>48</v>
      </c>
      <c r="H3" t="s">
        <v>32</v>
      </c>
      <c r="I3" t="s">
        <v>33</v>
      </c>
      <c r="J3" t="s">
        <v>34</v>
      </c>
      <c r="K3" t="s">
        <v>10</v>
      </c>
      <c r="L3" t="s">
        <v>11</v>
      </c>
      <c r="M3" t="s">
        <v>16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</row>
    <row r="4" spans="1:21">
      <c r="A4" t="s">
        <v>45</v>
      </c>
      <c r="B4" t="s">
        <v>44</v>
      </c>
      <c r="C4" t="s">
        <v>125</v>
      </c>
      <c r="D4" t="s">
        <v>46</v>
      </c>
      <c r="E4" t="s">
        <v>47</v>
      </c>
      <c r="F4" t="s">
        <v>14</v>
      </c>
      <c r="G4" s="21" t="s">
        <v>49</v>
      </c>
      <c r="H4" t="s">
        <v>50</v>
      </c>
      <c r="I4">
        <v>133.9</v>
      </c>
      <c r="J4" t="s">
        <v>50</v>
      </c>
      <c r="K4">
        <v>8.6199999999999999E-2</v>
      </c>
      <c r="L4">
        <v>0.97</v>
      </c>
      <c r="M4">
        <v>8.7999999999999995E-2</v>
      </c>
      <c r="N4">
        <v>270</v>
      </c>
      <c r="P4">
        <v>0.47960000000000003</v>
      </c>
      <c r="Q4">
        <v>0.98970000000000002</v>
      </c>
      <c r="R4">
        <v>0.47989999999999999</v>
      </c>
      <c r="T4" t="s">
        <v>51</v>
      </c>
      <c r="U4" t="s">
        <v>54</v>
      </c>
    </row>
    <row r="5" spans="1:21">
      <c r="A5" t="s">
        <v>45</v>
      </c>
      <c r="B5" t="s">
        <v>44</v>
      </c>
      <c r="D5" t="s">
        <v>52</v>
      </c>
      <c r="E5" t="s">
        <v>47</v>
      </c>
      <c r="F5" t="s">
        <v>53</v>
      </c>
      <c r="G5" s="21" t="s">
        <v>49</v>
      </c>
      <c r="H5" t="s">
        <v>50</v>
      </c>
      <c r="I5">
        <v>208.7</v>
      </c>
      <c r="J5" t="s">
        <v>50</v>
      </c>
      <c r="K5">
        <v>0.01</v>
      </c>
      <c r="L5">
        <v>1.18</v>
      </c>
      <c r="M5">
        <v>8.0000000000000002E-3</v>
      </c>
      <c r="N5">
        <v>270</v>
      </c>
      <c r="P5">
        <v>0.49199999999999999</v>
      </c>
      <c r="Q5">
        <v>1.1080000000000001</v>
      </c>
      <c r="R5">
        <v>0.439</v>
      </c>
    </row>
    <row r="6" spans="1:21">
      <c r="A6" t="s">
        <v>98</v>
      </c>
      <c r="B6">
        <v>20</v>
      </c>
      <c r="C6" t="s">
        <v>125</v>
      </c>
      <c r="D6" t="s">
        <v>99</v>
      </c>
      <c r="E6" t="s">
        <v>47</v>
      </c>
      <c r="F6" t="s">
        <v>14</v>
      </c>
      <c r="G6" t="s">
        <v>100</v>
      </c>
      <c r="H6" t="s">
        <v>50</v>
      </c>
      <c r="I6">
        <v>278</v>
      </c>
      <c r="J6">
        <v>180</v>
      </c>
      <c r="K6">
        <v>9.0999999999999998E-2</v>
      </c>
      <c r="L6">
        <v>0.41699999999999998</v>
      </c>
      <c r="M6">
        <v>0.218</v>
      </c>
      <c r="N6">
        <v>385</v>
      </c>
      <c r="O6">
        <v>2.9999999999999997E-4</v>
      </c>
      <c r="P6">
        <v>0.35680000000000001</v>
      </c>
      <c r="Q6">
        <v>0.93430000000000002</v>
      </c>
      <c r="R6">
        <v>0.3821</v>
      </c>
      <c r="S6">
        <v>9.5E-4</v>
      </c>
      <c r="T6" t="s">
        <v>101</v>
      </c>
      <c r="U6" t="s">
        <v>102</v>
      </c>
    </row>
    <row r="7" spans="1:21">
      <c r="A7" t="s">
        <v>98</v>
      </c>
      <c r="B7">
        <v>20</v>
      </c>
      <c r="D7" t="s">
        <v>103</v>
      </c>
      <c r="E7" t="s">
        <v>47</v>
      </c>
      <c r="F7" t="s">
        <v>104</v>
      </c>
      <c r="G7" t="s">
        <v>100</v>
      </c>
      <c r="J7">
        <v>180</v>
      </c>
      <c r="K7">
        <v>0.15890000000000001</v>
      </c>
      <c r="L7">
        <v>0.376</v>
      </c>
      <c r="M7">
        <v>0.42199999999999999</v>
      </c>
      <c r="N7">
        <v>385</v>
      </c>
      <c r="O7">
        <v>4.0000000000000001E-3</v>
      </c>
      <c r="P7">
        <v>0.39510000000000001</v>
      </c>
      <c r="Q7">
        <v>0.95189999999999997</v>
      </c>
      <c r="R7">
        <v>0.4158</v>
      </c>
      <c r="S7">
        <v>1.1999999999999999E-3</v>
      </c>
    </row>
    <row r="8" spans="1:21">
      <c r="A8" t="s">
        <v>64</v>
      </c>
      <c r="B8" t="s">
        <v>166</v>
      </c>
      <c r="C8" t="s">
        <v>127</v>
      </c>
      <c r="D8" t="s">
        <v>65</v>
      </c>
      <c r="E8" t="s">
        <v>47</v>
      </c>
      <c r="F8" t="s">
        <v>14</v>
      </c>
      <c r="G8" t="s">
        <v>66</v>
      </c>
      <c r="H8" t="s">
        <v>50</v>
      </c>
      <c r="I8">
        <v>300</v>
      </c>
      <c r="J8">
        <v>130</v>
      </c>
      <c r="K8">
        <v>9.7000000000000003E-2</v>
      </c>
      <c r="L8">
        <v>0.38300000000000001</v>
      </c>
      <c r="M8">
        <v>0.25</v>
      </c>
      <c r="N8">
        <v>305</v>
      </c>
      <c r="O8">
        <v>6.9999999999999999E-4</v>
      </c>
      <c r="P8">
        <v>0.38</v>
      </c>
      <c r="Q8">
        <v>0.94230000000000003</v>
      </c>
      <c r="R8">
        <v>0.40699999999999997</v>
      </c>
      <c r="S8">
        <v>-2E-3</v>
      </c>
      <c r="T8" t="s">
        <v>67</v>
      </c>
      <c r="U8" t="s">
        <v>134</v>
      </c>
    </row>
    <row r="9" spans="1:21">
      <c r="A9" t="s">
        <v>107</v>
      </c>
      <c r="B9">
        <v>37</v>
      </c>
      <c r="C9" t="s">
        <v>127</v>
      </c>
      <c r="D9" t="s">
        <v>109</v>
      </c>
      <c r="E9" t="s">
        <v>47</v>
      </c>
      <c r="F9" t="s">
        <v>14</v>
      </c>
      <c r="G9" t="s">
        <v>135</v>
      </c>
      <c r="H9" t="s">
        <v>49</v>
      </c>
      <c r="I9">
        <v>300</v>
      </c>
      <c r="J9">
        <v>130</v>
      </c>
      <c r="K9">
        <v>3.8699999999999998E-2</v>
      </c>
      <c r="L9">
        <v>0.09</v>
      </c>
      <c r="M9">
        <v>3.8699999999999998E-2</v>
      </c>
      <c r="N9">
        <v>361</v>
      </c>
      <c r="O9">
        <v>5.0000000000000001E-4</v>
      </c>
      <c r="P9">
        <v>0.25900000000000001</v>
      </c>
      <c r="Q9">
        <v>1.085</v>
      </c>
      <c r="R9">
        <v>0.23849999999999999</v>
      </c>
      <c r="S9">
        <v>6.4999999999999994E-5</v>
      </c>
      <c r="T9" t="s">
        <v>108</v>
      </c>
      <c r="U9" t="s">
        <v>134</v>
      </c>
    </row>
    <row r="10" spans="1:21">
      <c r="A10" t="s">
        <v>64</v>
      </c>
      <c r="B10">
        <v>72</v>
      </c>
      <c r="C10" t="s">
        <v>128</v>
      </c>
      <c r="D10" t="s">
        <v>68</v>
      </c>
      <c r="E10" t="s">
        <v>47</v>
      </c>
      <c r="F10" t="s">
        <v>14</v>
      </c>
      <c r="G10" t="s">
        <v>69</v>
      </c>
      <c r="H10" t="s">
        <v>70</v>
      </c>
      <c r="I10">
        <v>94.6</v>
      </c>
      <c r="J10" t="s">
        <v>50</v>
      </c>
      <c r="K10">
        <v>8.8999999999999996E-2</v>
      </c>
      <c r="L10">
        <v>0.8</v>
      </c>
      <c r="M10">
        <v>0.11</v>
      </c>
      <c r="N10">
        <v>271</v>
      </c>
      <c r="O10">
        <v>-6.9999999999999999E-4</v>
      </c>
      <c r="P10">
        <v>0.40789999999999998</v>
      </c>
      <c r="Q10">
        <v>0.82199999999999995</v>
      </c>
      <c r="R10">
        <v>0.49199999999999999</v>
      </c>
      <c r="S10">
        <v>-1E-4</v>
      </c>
      <c r="T10" t="s">
        <v>71</v>
      </c>
    </row>
    <row r="11" spans="1:21">
      <c r="A11" t="s">
        <v>121</v>
      </c>
      <c r="B11" t="s">
        <v>15</v>
      </c>
      <c r="C11" t="s">
        <v>128</v>
      </c>
      <c r="D11" t="s">
        <v>122</v>
      </c>
      <c r="E11" t="s">
        <v>47</v>
      </c>
      <c r="F11" t="s">
        <v>14</v>
      </c>
      <c r="G11" t="s">
        <v>123</v>
      </c>
      <c r="H11" t="s">
        <v>49</v>
      </c>
      <c r="I11">
        <v>296</v>
      </c>
      <c r="J11">
        <v>190</v>
      </c>
      <c r="K11">
        <v>0.1067</v>
      </c>
      <c r="L11">
        <v>0.59399999999999997</v>
      </c>
      <c r="M11">
        <v>0.18</v>
      </c>
      <c r="N11">
        <v>905</v>
      </c>
      <c r="O11">
        <v>-6.9999999999999999E-4</v>
      </c>
      <c r="P11">
        <v>0.34449999999999997</v>
      </c>
      <c r="Q11">
        <v>0.81059999999999999</v>
      </c>
      <c r="R11">
        <v>0.42609999999999998</v>
      </c>
      <c r="S11">
        <v>-1.6000000000000001E-3</v>
      </c>
      <c r="T11" t="s">
        <v>116</v>
      </c>
      <c r="U11" t="s">
        <v>117</v>
      </c>
    </row>
    <row r="12" spans="1:21">
      <c r="A12" t="s">
        <v>121</v>
      </c>
      <c r="B12" t="s">
        <v>15</v>
      </c>
      <c r="D12" t="s">
        <v>124</v>
      </c>
      <c r="E12" t="s">
        <v>47</v>
      </c>
      <c r="F12" t="s">
        <v>115</v>
      </c>
      <c r="H12" t="s">
        <v>49</v>
      </c>
      <c r="J12">
        <v>190</v>
      </c>
      <c r="K12">
        <v>9.2499999999999999E-2</v>
      </c>
      <c r="L12">
        <v>0.59599999999999997</v>
      </c>
      <c r="M12">
        <v>0.155</v>
      </c>
      <c r="N12">
        <v>905</v>
      </c>
      <c r="O12">
        <v>5.0000000000000001E-4</v>
      </c>
      <c r="P12">
        <v>0.32719999999999999</v>
      </c>
      <c r="Q12">
        <v>0.88939999999999997</v>
      </c>
      <c r="R12">
        <v>0.36959999999999998</v>
      </c>
      <c r="S12">
        <v>2.3E-3</v>
      </c>
    </row>
    <row r="13" spans="1:21">
      <c r="A13" t="s">
        <v>55</v>
      </c>
      <c r="B13" t="s">
        <v>56</v>
      </c>
      <c r="C13" t="s">
        <v>126</v>
      </c>
      <c r="D13" t="s">
        <v>57</v>
      </c>
      <c r="E13" t="s">
        <v>47</v>
      </c>
      <c r="F13" t="s">
        <v>14</v>
      </c>
      <c r="G13" t="s">
        <v>58</v>
      </c>
      <c r="H13" t="s">
        <v>49</v>
      </c>
      <c r="I13">
        <v>300</v>
      </c>
      <c r="J13">
        <v>190</v>
      </c>
      <c r="K13">
        <v>5.3999999999999999E-2</v>
      </c>
      <c r="L13">
        <v>0.69399999999999995</v>
      </c>
      <c r="M13">
        <v>7.8E-2</v>
      </c>
      <c r="N13">
        <v>502</v>
      </c>
      <c r="P13">
        <v>0.34699999999999998</v>
      </c>
      <c r="Q13">
        <v>0.98209999999999997</v>
      </c>
      <c r="R13">
        <v>0.3533</v>
      </c>
      <c r="S13">
        <v>8.0000000000000002E-3</v>
      </c>
      <c r="T13" t="s">
        <v>59</v>
      </c>
      <c r="U13" t="s">
        <v>60</v>
      </c>
    </row>
    <row r="14" spans="1:21">
      <c r="A14" t="s">
        <v>55</v>
      </c>
      <c r="B14" t="s">
        <v>63</v>
      </c>
      <c r="D14" t="s">
        <v>62</v>
      </c>
      <c r="E14" t="s">
        <v>47</v>
      </c>
      <c r="F14" t="s">
        <v>61</v>
      </c>
      <c r="G14" t="s">
        <v>58</v>
      </c>
      <c r="H14" t="s">
        <v>49</v>
      </c>
      <c r="J14">
        <v>190</v>
      </c>
      <c r="K14">
        <v>7.3999999999999996E-2</v>
      </c>
      <c r="L14">
        <v>0.69799999999999995</v>
      </c>
      <c r="M14">
        <v>0.106</v>
      </c>
      <c r="N14">
        <v>502</v>
      </c>
      <c r="O14">
        <v>1.8E-3</v>
      </c>
      <c r="P14">
        <v>0.35099999999999998</v>
      </c>
      <c r="Q14">
        <v>0.93500000000000005</v>
      </c>
      <c r="R14">
        <v>0.376</v>
      </c>
      <c r="S14">
        <v>7.9000000000000008E-3</v>
      </c>
    </row>
    <row r="15" spans="1:21">
      <c r="A15" t="s">
        <v>55</v>
      </c>
      <c r="B15" t="s">
        <v>110</v>
      </c>
      <c r="C15" t="s">
        <v>126</v>
      </c>
      <c r="D15" t="s">
        <v>114</v>
      </c>
      <c r="E15" t="s">
        <v>47</v>
      </c>
      <c r="F15" t="s">
        <v>14</v>
      </c>
      <c r="G15" t="s">
        <v>112</v>
      </c>
      <c r="H15" t="s">
        <v>49</v>
      </c>
      <c r="I15">
        <v>269</v>
      </c>
      <c r="J15">
        <v>180</v>
      </c>
      <c r="K15">
        <v>1.2999999999999999E-3</v>
      </c>
      <c r="L15">
        <v>0.63500000000000001</v>
      </c>
      <c r="M15">
        <v>2E-3</v>
      </c>
      <c r="N15">
        <v>717</v>
      </c>
      <c r="O15">
        <v>3.0999999999999999E-3</v>
      </c>
      <c r="P15">
        <v>0.25380000000000003</v>
      </c>
      <c r="Q15">
        <v>1.087</v>
      </c>
      <c r="R15">
        <v>0.2298</v>
      </c>
      <c r="S15">
        <v>7.9299999999999995E-3</v>
      </c>
      <c r="T15" t="s">
        <v>113</v>
      </c>
      <c r="U15" t="s">
        <v>134</v>
      </c>
    </row>
    <row r="16" spans="1:21">
      <c r="A16" t="s">
        <v>55</v>
      </c>
      <c r="B16" t="s">
        <v>110</v>
      </c>
      <c r="D16" t="s">
        <v>111</v>
      </c>
      <c r="E16" t="s">
        <v>47</v>
      </c>
      <c r="F16" t="s">
        <v>115</v>
      </c>
      <c r="H16" t="s">
        <v>49</v>
      </c>
      <c r="I16">
        <v>296</v>
      </c>
      <c r="J16">
        <v>180</v>
      </c>
      <c r="K16">
        <v>6.2E-4</v>
      </c>
      <c r="L16">
        <v>0.621</v>
      </c>
      <c r="M16">
        <v>1E-3</v>
      </c>
      <c r="N16">
        <v>717</v>
      </c>
      <c r="O16">
        <v>2.7000000000000001E-3</v>
      </c>
      <c r="P16">
        <v>0.31659999999999999</v>
      </c>
      <c r="Q16">
        <v>6.1020000000000003</v>
      </c>
      <c r="R16">
        <v>5.5800000000000002E-2</v>
      </c>
      <c r="S16">
        <v>9.1999999999999998E-3</v>
      </c>
    </row>
    <row r="17" spans="1:21">
      <c r="A17" t="s">
        <v>72</v>
      </c>
      <c r="B17" t="s">
        <v>73</v>
      </c>
      <c r="C17" t="s">
        <v>126</v>
      </c>
      <c r="D17" t="s">
        <v>74</v>
      </c>
      <c r="E17" t="s">
        <v>47</v>
      </c>
      <c r="F17" t="s">
        <v>14</v>
      </c>
      <c r="G17" t="s">
        <v>75</v>
      </c>
      <c r="H17" t="s">
        <v>49</v>
      </c>
      <c r="I17">
        <v>183</v>
      </c>
      <c r="J17" t="s">
        <v>50</v>
      </c>
      <c r="K17">
        <v>0.35</v>
      </c>
      <c r="L17">
        <v>0.68</v>
      </c>
      <c r="M17">
        <v>0.51500000000000001</v>
      </c>
      <c r="N17">
        <v>794</v>
      </c>
      <c r="O17">
        <v>8.0000000000000004E-4</v>
      </c>
      <c r="P17">
        <v>0.5696</v>
      </c>
      <c r="Q17">
        <v>0.83199999999999996</v>
      </c>
      <c r="R17">
        <v>0.68340000000000001</v>
      </c>
      <c r="S17">
        <v>-7.6199999999999998E-4</v>
      </c>
      <c r="T17" t="s">
        <v>76</v>
      </c>
    </row>
    <row r="18" spans="1:21">
      <c r="A18" t="s">
        <v>72</v>
      </c>
      <c r="B18" t="s">
        <v>73</v>
      </c>
      <c r="D18" t="s">
        <v>78</v>
      </c>
      <c r="E18" t="s">
        <v>47</v>
      </c>
      <c r="F18" t="s">
        <v>61</v>
      </c>
      <c r="H18" t="s">
        <v>49</v>
      </c>
      <c r="I18">
        <v>183</v>
      </c>
      <c r="J18" t="s">
        <v>50</v>
      </c>
      <c r="K18">
        <v>0.34899999999999998</v>
      </c>
      <c r="L18">
        <v>0.67900000000000005</v>
      </c>
      <c r="M18">
        <v>1.9450000000000001</v>
      </c>
      <c r="N18">
        <v>794</v>
      </c>
      <c r="O18">
        <v>8.3000000000000001E-4</v>
      </c>
      <c r="P18">
        <v>0.5696</v>
      </c>
      <c r="Q18">
        <v>0.83199999999999996</v>
      </c>
      <c r="R18">
        <v>0.68340000000000001</v>
      </c>
      <c r="S18">
        <v>-7.6199999999999998E-4</v>
      </c>
    </row>
    <row r="19" spans="1:21">
      <c r="A19" t="s">
        <v>72</v>
      </c>
      <c r="B19" t="s">
        <v>73</v>
      </c>
      <c r="D19" t="s">
        <v>77</v>
      </c>
      <c r="E19" t="s">
        <v>47</v>
      </c>
      <c r="F19" t="s">
        <v>53</v>
      </c>
      <c r="H19" t="s">
        <v>49</v>
      </c>
      <c r="I19">
        <v>224.8</v>
      </c>
      <c r="J19" t="s">
        <v>50</v>
      </c>
      <c r="K19">
        <v>0.22</v>
      </c>
      <c r="L19">
        <v>0.85899999999999999</v>
      </c>
      <c r="M19">
        <v>0.25800000000000001</v>
      </c>
      <c r="N19">
        <v>794</v>
      </c>
      <c r="O19">
        <v>1.6000000000000001E-3</v>
      </c>
      <c r="P19">
        <v>0.53010000000000002</v>
      </c>
      <c r="Q19">
        <v>0.84099999999999997</v>
      </c>
      <c r="R19">
        <v>0.63249999999999995</v>
      </c>
      <c r="S19">
        <v>8.9999999999999998E-4</v>
      </c>
      <c r="T19" t="s">
        <v>141</v>
      </c>
      <c r="U19" t="s">
        <v>134</v>
      </c>
    </row>
    <row r="20" spans="1:21">
      <c r="A20" t="s">
        <v>136</v>
      </c>
      <c r="B20" t="s">
        <v>137</v>
      </c>
      <c r="C20" t="s">
        <v>126</v>
      </c>
      <c r="D20" t="s">
        <v>138</v>
      </c>
      <c r="E20" t="s">
        <v>47</v>
      </c>
      <c r="F20" t="s">
        <v>14</v>
      </c>
      <c r="G20" t="s">
        <v>140</v>
      </c>
      <c r="H20" t="s">
        <v>49</v>
      </c>
      <c r="I20">
        <v>300</v>
      </c>
      <c r="J20">
        <v>190</v>
      </c>
      <c r="K20">
        <v>0.115</v>
      </c>
      <c r="L20">
        <v>0.41699999999999998</v>
      </c>
      <c r="M20">
        <v>0.27600000000000002</v>
      </c>
      <c r="N20">
        <v>557</v>
      </c>
      <c r="O20">
        <v>-1E-4</v>
      </c>
      <c r="P20">
        <v>0.439</v>
      </c>
      <c r="Q20">
        <v>1.0518000000000001</v>
      </c>
      <c r="R20">
        <v>0.41789999999999999</v>
      </c>
    </row>
    <row r="21" spans="1:21">
      <c r="A21" t="s">
        <v>136</v>
      </c>
      <c r="B21" t="s">
        <v>137</v>
      </c>
      <c r="D21" t="s">
        <v>139</v>
      </c>
      <c r="E21" t="s">
        <v>47</v>
      </c>
      <c r="F21" t="s">
        <v>61</v>
      </c>
      <c r="H21" t="s">
        <v>49</v>
      </c>
      <c r="I21">
        <v>300</v>
      </c>
      <c r="J21">
        <v>190</v>
      </c>
      <c r="K21">
        <v>0.1515</v>
      </c>
      <c r="L21">
        <v>0.498</v>
      </c>
      <c r="M21">
        <v>0.30399999999999999</v>
      </c>
      <c r="N21">
        <v>557</v>
      </c>
      <c r="O21">
        <v>-1E-4</v>
      </c>
      <c r="P21">
        <v>0.443</v>
      </c>
      <c r="Q21">
        <v>0.99760000000000004</v>
      </c>
      <c r="R21">
        <v>0.44369999999999998</v>
      </c>
      <c r="S21">
        <v>-1.1999999999999999E-3</v>
      </c>
    </row>
    <row r="22" spans="1:21">
      <c r="A22" t="s">
        <v>72</v>
      </c>
      <c r="B22" t="s">
        <v>79</v>
      </c>
      <c r="C22" t="s">
        <v>129</v>
      </c>
      <c r="D22" t="s">
        <v>80</v>
      </c>
      <c r="E22" t="s">
        <v>47</v>
      </c>
      <c r="F22" t="s">
        <v>14</v>
      </c>
      <c r="G22" t="s">
        <v>81</v>
      </c>
      <c r="H22" t="s">
        <v>82</v>
      </c>
      <c r="I22">
        <v>87</v>
      </c>
      <c r="J22" t="s">
        <v>50</v>
      </c>
      <c r="K22">
        <v>0.32300000000000001</v>
      </c>
      <c r="L22">
        <v>0.26</v>
      </c>
      <c r="M22">
        <v>1.24</v>
      </c>
      <c r="N22">
        <v>528</v>
      </c>
      <c r="O22">
        <v>8.8999999999999999E-3</v>
      </c>
      <c r="P22">
        <v>0.59830000000000005</v>
      </c>
      <c r="Q22">
        <v>0.90149999999999997</v>
      </c>
      <c r="R22">
        <v>0.66320000000000001</v>
      </c>
      <c r="S22">
        <v>1.166E-2</v>
      </c>
      <c r="T22" t="s">
        <v>83</v>
      </c>
      <c r="U22" t="s">
        <v>84</v>
      </c>
    </row>
    <row r="23" spans="1:21">
      <c r="A23" t="s">
        <v>72</v>
      </c>
      <c r="B23" t="s">
        <v>79</v>
      </c>
      <c r="D23" t="s">
        <v>85</v>
      </c>
      <c r="E23" t="s">
        <v>47</v>
      </c>
      <c r="F23" t="s">
        <v>53</v>
      </c>
      <c r="H23" t="s">
        <v>82</v>
      </c>
      <c r="I23">
        <v>90.6</v>
      </c>
      <c r="J23" t="s">
        <v>50</v>
      </c>
      <c r="K23">
        <v>0.2424</v>
      </c>
      <c r="L23">
        <v>0.34339999999999998</v>
      </c>
      <c r="M23">
        <v>0.70599999999999996</v>
      </c>
      <c r="N23">
        <v>528</v>
      </c>
      <c r="O23">
        <v>9.4000000000000004E-3</v>
      </c>
      <c r="P23">
        <v>0.58040000000000003</v>
      </c>
      <c r="Q23">
        <v>0.88109999999999999</v>
      </c>
      <c r="R23">
        <v>0.66</v>
      </c>
      <c r="S23">
        <v>1.2E-2</v>
      </c>
    </row>
    <row r="24" spans="1:21">
      <c r="A24" t="s">
        <v>118</v>
      </c>
      <c r="B24" t="s">
        <v>23</v>
      </c>
      <c r="C24" t="s">
        <v>129</v>
      </c>
      <c r="D24" t="s">
        <v>119</v>
      </c>
      <c r="E24" t="s">
        <v>47</v>
      </c>
      <c r="F24" t="s">
        <v>14</v>
      </c>
      <c r="G24" t="s">
        <v>75</v>
      </c>
      <c r="H24" t="s">
        <v>49</v>
      </c>
      <c r="I24">
        <v>77</v>
      </c>
      <c r="J24" t="s">
        <v>50</v>
      </c>
      <c r="K24">
        <v>0.15728</v>
      </c>
      <c r="L24">
        <v>0.17230000000000001</v>
      </c>
      <c r="M24">
        <v>0.9</v>
      </c>
      <c r="N24">
        <v>691</v>
      </c>
      <c r="O24">
        <v>2.0500000000000002E-3</v>
      </c>
      <c r="P24">
        <v>0.4345</v>
      </c>
      <c r="Q24">
        <v>0.92259999999999998</v>
      </c>
      <c r="R24">
        <v>0.47010000000000002</v>
      </c>
      <c r="S24">
        <v>3.7000000000000002E-3</v>
      </c>
      <c r="T24" t="s">
        <v>120</v>
      </c>
    </row>
    <row r="25" spans="1:21">
      <c r="A25" t="s">
        <v>86</v>
      </c>
      <c r="B25">
        <v>202</v>
      </c>
      <c r="C25" t="s">
        <v>130</v>
      </c>
      <c r="D25" t="s">
        <v>87</v>
      </c>
      <c r="E25" t="s">
        <v>47</v>
      </c>
      <c r="F25" t="s">
        <v>14</v>
      </c>
      <c r="G25" t="s">
        <v>88</v>
      </c>
      <c r="H25" t="s">
        <v>50</v>
      </c>
      <c r="I25">
        <v>193.4</v>
      </c>
      <c r="J25">
        <v>170</v>
      </c>
      <c r="K25">
        <v>8.2000000000000003E-2</v>
      </c>
      <c r="L25">
        <v>8.6999999999999994E-2</v>
      </c>
      <c r="M25">
        <v>0.94199999999999995</v>
      </c>
      <c r="N25">
        <v>299</v>
      </c>
      <c r="O25">
        <v>6.7000000000000002E-4</v>
      </c>
      <c r="P25">
        <v>0.33019999999999999</v>
      </c>
      <c r="Q25">
        <v>0.98580000000000001</v>
      </c>
      <c r="R25">
        <v>0.33389999999999997</v>
      </c>
      <c r="S25">
        <v>2E-3</v>
      </c>
      <c r="T25" t="s">
        <v>89</v>
      </c>
      <c r="U25" t="s">
        <v>90</v>
      </c>
    </row>
    <row r="26" spans="1:21">
      <c r="A26" t="s">
        <v>86</v>
      </c>
      <c r="B26">
        <v>202</v>
      </c>
      <c r="D26" t="s">
        <v>91</v>
      </c>
      <c r="E26" t="s">
        <v>47</v>
      </c>
      <c r="F26" t="s">
        <v>53</v>
      </c>
      <c r="G26" t="s">
        <v>88</v>
      </c>
      <c r="H26" t="s">
        <v>50</v>
      </c>
      <c r="I26">
        <v>200</v>
      </c>
      <c r="J26">
        <v>170</v>
      </c>
      <c r="K26">
        <v>6.6000000000000003E-2</v>
      </c>
      <c r="L26">
        <v>0.10100000000000001</v>
      </c>
      <c r="M26">
        <v>0.65</v>
      </c>
      <c r="N26">
        <v>299</v>
      </c>
      <c r="O26">
        <v>5.9999999999999995E-4</v>
      </c>
      <c r="P26">
        <v>0.32729999999999998</v>
      </c>
      <c r="Q26">
        <v>0.98019999999999996</v>
      </c>
      <c r="R26">
        <v>0.33329999999999999</v>
      </c>
      <c r="S26">
        <v>2E-3</v>
      </c>
    </row>
    <row r="27" spans="1:21">
      <c r="A27" t="s">
        <v>86</v>
      </c>
      <c r="B27">
        <v>12</v>
      </c>
      <c r="C27" t="s">
        <v>130</v>
      </c>
      <c r="D27" t="s">
        <v>92</v>
      </c>
      <c r="E27" t="s">
        <v>47</v>
      </c>
      <c r="F27" t="s">
        <v>14</v>
      </c>
      <c r="G27" t="s">
        <v>93</v>
      </c>
      <c r="H27" t="s">
        <v>82</v>
      </c>
      <c r="I27">
        <v>116.6</v>
      </c>
      <c r="J27" t="s">
        <v>50</v>
      </c>
      <c r="K27">
        <v>0.21199999999999999</v>
      </c>
      <c r="L27">
        <v>1.7430000000000001E-2</v>
      </c>
      <c r="M27">
        <v>12.16</v>
      </c>
      <c r="N27">
        <v>282</v>
      </c>
      <c r="O27">
        <v>9.4999999999999998E-3</v>
      </c>
      <c r="P27">
        <v>0.4884</v>
      </c>
      <c r="Q27">
        <v>1.012</v>
      </c>
      <c r="R27">
        <v>0.48280000000000001</v>
      </c>
      <c r="S27">
        <v>1.8440000000000002E-2</v>
      </c>
      <c r="T27" t="s">
        <v>94</v>
      </c>
      <c r="U27" t="s">
        <v>95</v>
      </c>
    </row>
    <row r="28" spans="1:21">
      <c r="A28" t="s">
        <v>96</v>
      </c>
      <c r="B28">
        <v>307</v>
      </c>
      <c r="C28" t="s">
        <v>130</v>
      </c>
      <c r="E28" t="s">
        <v>47</v>
      </c>
      <c r="F28" t="s">
        <v>14</v>
      </c>
      <c r="G28" t="s">
        <v>97</v>
      </c>
      <c r="H28" t="s">
        <v>49</v>
      </c>
      <c r="I28">
        <v>296</v>
      </c>
      <c r="J28" t="s">
        <v>50</v>
      </c>
      <c r="K28">
        <v>0.17199999999999999</v>
      </c>
      <c r="L28">
        <v>0.14899999999999999</v>
      </c>
      <c r="M28">
        <v>1.1499999999999999</v>
      </c>
      <c r="N28">
        <v>200</v>
      </c>
      <c r="O28">
        <v>2.9999999999999997E-4</v>
      </c>
      <c r="P28">
        <v>0.41349999999999998</v>
      </c>
      <c r="Q28">
        <v>0.92269999999999996</v>
      </c>
      <c r="R28">
        <v>0.4481</v>
      </c>
      <c r="S28">
        <v>1.5E-3</v>
      </c>
      <c r="T28" t="s">
        <v>105</v>
      </c>
      <c r="U28" t="s">
        <v>106</v>
      </c>
    </row>
    <row r="30" spans="1:21">
      <c r="A30" s="23" t="s">
        <v>125</v>
      </c>
    </row>
    <row r="31" spans="1:21" ht="15.75">
      <c r="A31" s="24" t="s">
        <v>1</v>
      </c>
      <c r="B31" s="24" t="s">
        <v>8</v>
      </c>
      <c r="C31" s="24" t="s">
        <v>10</v>
      </c>
      <c r="D31" s="24" t="s">
        <v>132</v>
      </c>
      <c r="E31" s="24" t="s">
        <v>37</v>
      </c>
      <c r="F31" s="24" t="s">
        <v>143</v>
      </c>
      <c r="G31" s="24"/>
      <c r="H31" s="24">
        <v>3</v>
      </c>
      <c r="I31" s="24">
        <v>2</v>
      </c>
      <c r="J31" s="24">
        <v>1</v>
      </c>
      <c r="K31" s="24">
        <v>0</v>
      </c>
      <c r="L31" s="24" t="s">
        <v>148</v>
      </c>
      <c r="M31" s="24" t="s">
        <v>153</v>
      </c>
    </row>
    <row r="32" spans="1:21">
      <c r="A32" t="s">
        <v>44</v>
      </c>
      <c r="B32">
        <v>133.9</v>
      </c>
      <c r="C32">
        <v>8.6199999999999999E-2</v>
      </c>
      <c r="D32">
        <v>8.7999999999999995E-2</v>
      </c>
      <c r="E32">
        <v>0.47960000000000003</v>
      </c>
      <c r="F32">
        <v>34</v>
      </c>
      <c r="H32" t="s">
        <v>157</v>
      </c>
      <c r="I32" t="s">
        <v>156</v>
      </c>
      <c r="J32" t="s">
        <v>155</v>
      </c>
      <c r="K32" t="s">
        <v>154</v>
      </c>
      <c r="L32">
        <v>270</v>
      </c>
      <c r="M32" s="25">
        <v>0.9</v>
      </c>
    </row>
    <row r="33" spans="1:13">
      <c r="A33" t="s">
        <v>169</v>
      </c>
      <c r="B33">
        <v>180</v>
      </c>
      <c r="C33">
        <v>9.0999999999999998E-2</v>
      </c>
      <c r="D33">
        <v>0.218</v>
      </c>
      <c r="E33">
        <v>0.35680000000000001</v>
      </c>
      <c r="F33">
        <v>30</v>
      </c>
      <c r="H33" t="s">
        <v>151</v>
      </c>
      <c r="I33" t="s">
        <v>150</v>
      </c>
      <c r="J33" t="s">
        <v>152</v>
      </c>
      <c r="K33" t="s">
        <v>149</v>
      </c>
      <c r="L33">
        <v>385</v>
      </c>
      <c r="M33" s="25">
        <v>1.62</v>
      </c>
    </row>
    <row r="34" spans="1:13">
      <c r="A34" t="s">
        <v>137</v>
      </c>
      <c r="B34">
        <v>190</v>
      </c>
      <c r="C34">
        <v>0.115</v>
      </c>
      <c r="D34">
        <v>0.27600000000000002</v>
      </c>
      <c r="E34">
        <v>0.439</v>
      </c>
      <c r="F34">
        <v>13</v>
      </c>
      <c r="H34">
        <v>19</v>
      </c>
      <c r="I34">
        <v>52</v>
      </c>
      <c r="J34">
        <v>250</v>
      </c>
      <c r="K34">
        <v>236</v>
      </c>
      <c r="L34">
        <v>557</v>
      </c>
      <c r="M34" s="25">
        <v>0.74</v>
      </c>
    </row>
    <row r="35" spans="1:13">
      <c r="A35" s="23" t="s">
        <v>127</v>
      </c>
      <c r="M35" s="25"/>
    </row>
    <row r="36" spans="1:13">
      <c r="A36" t="s">
        <v>167</v>
      </c>
      <c r="B36">
        <v>130</v>
      </c>
      <c r="C36">
        <v>9.7000000000000003E-2</v>
      </c>
      <c r="D36">
        <v>0.25</v>
      </c>
      <c r="E36">
        <v>0.38</v>
      </c>
      <c r="F36">
        <v>6</v>
      </c>
      <c r="H36">
        <v>6</v>
      </c>
      <c r="I36">
        <v>12</v>
      </c>
      <c r="J36">
        <v>81</v>
      </c>
      <c r="K36">
        <v>207</v>
      </c>
      <c r="L36">
        <v>306</v>
      </c>
      <c r="M36" s="25">
        <v>0.46</v>
      </c>
    </row>
    <row r="37" spans="1:13">
      <c r="A37" t="s">
        <v>144</v>
      </c>
      <c r="B37">
        <v>130</v>
      </c>
      <c r="C37">
        <v>3.8699999999999998E-2</v>
      </c>
      <c r="D37">
        <v>3.8699999999999998E-2</v>
      </c>
      <c r="E37">
        <v>0.25900000000000001</v>
      </c>
      <c r="F37">
        <v>8</v>
      </c>
      <c r="H37">
        <v>3</v>
      </c>
      <c r="I37">
        <v>25</v>
      </c>
      <c r="J37">
        <v>324</v>
      </c>
      <c r="K37">
        <v>10</v>
      </c>
      <c r="L37">
        <v>362</v>
      </c>
      <c r="M37" s="25">
        <v>1.06</v>
      </c>
    </row>
    <row r="39" spans="1:13">
      <c r="A39" s="23" t="s">
        <v>133</v>
      </c>
      <c r="M39" s="25"/>
    </row>
    <row r="40" spans="1:13">
      <c r="A40" t="s">
        <v>168</v>
      </c>
      <c r="B40">
        <v>94.6</v>
      </c>
      <c r="C40">
        <v>8.8999999999999996E-2</v>
      </c>
      <c r="D40">
        <v>0.11</v>
      </c>
      <c r="E40">
        <v>0.40789999999999998</v>
      </c>
      <c r="F40">
        <v>38</v>
      </c>
      <c r="H40">
        <v>52</v>
      </c>
      <c r="I40">
        <v>52</v>
      </c>
      <c r="J40">
        <v>138</v>
      </c>
      <c r="K40">
        <v>29</v>
      </c>
      <c r="L40">
        <v>271</v>
      </c>
      <c r="M40" s="25">
        <v>1.47</v>
      </c>
    </row>
    <row r="41" spans="1:13">
      <c r="A41" t="s">
        <v>15</v>
      </c>
      <c r="B41">
        <v>190</v>
      </c>
      <c r="C41">
        <v>9.2499999999999999E-2</v>
      </c>
      <c r="D41">
        <v>0.155</v>
      </c>
      <c r="E41">
        <v>0.32719999999999999</v>
      </c>
      <c r="F41">
        <v>53</v>
      </c>
      <c r="H41">
        <v>163</v>
      </c>
      <c r="I41">
        <v>319</v>
      </c>
      <c r="J41">
        <v>323</v>
      </c>
      <c r="K41">
        <v>100</v>
      </c>
      <c r="L41">
        <v>905</v>
      </c>
      <c r="M41" s="25">
        <v>1.6</v>
      </c>
    </row>
    <row r="42" spans="1:13">
      <c r="M42" s="25"/>
    </row>
    <row r="43" spans="1:13">
      <c r="A43" s="23" t="s">
        <v>126</v>
      </c>
      <c r="M43" s="25"/>
    </row>
    <row r="44" spans="1:13">
      <c r="A44" t="s">
        <v>56</v>
      </c>
      <c r="B44">
        <v>190</v>
      </c>
      <c r="C44">
        <v>5.3999999999999999E-2</v>
      </c>
      <c r="D44">
        <v>7.8E-2</v>
      </c>
      <c r="E44">
        <v>0.34699999999999998</v>
      </c>
      <c r="F44">
        <v>34</v>
      </c>
      <c r="H44" t="s">
        <v>165</v>
      </c>
      <c r="I44" t="s">
        <v>164</v>
      </c>
      <c r="J44" t="s">
        <v>163</v>
      </c>
      <c r="K44" t="s">
        <v>162</v>
      </c>
      <c r="L44">
        <v>503</v>
      </c>
      <c r="M44" s="25">
        <v>1.88</v>
      </c>
    </row>
    <row r="45" spans="1:13">
      <c r="A45" t="s">
        <v>110</v>
      </c>
      <c r="B45">
        <v>180</v>
      </c>
      <c r="C45">
        <v>1.2999999999999999E-3</v>
      </c>
      <c r="D45">
        <v>2E-3</v>
      </c>
      <c r="E45">
        <v>0.25380000000000003</v>
      </c>
      <c r="F45">
        <v>57</v>
      </c>
      <c r="H45" t="s">
        <v>161</v>
      </c>
      <c r="I45" t="s">
        <v>160</v>
      </c>
      <c r="J45" t="s">
        <v>159</v>
      </c>
      <c r="K45" t="s">
        <v>158</v>
      </c>
      <c r="L45">
        <v>717</v>
      </c>
      <c r="M45" s="25">
        <v>1.76</v>
      </c>
    </row>
    <row r="46" spans="1:13">
      <c r="A46" t="s">
        <v>142</v>
      </c>
      <c r="B46">
        <v>183</v>
      </c>
      <c r="C46">
        <v>0.35</v>
      </c>
      <c r="D46">
        <v>0.68</v>
      </c>
      <c r="E46">
        <v>0.5696</v>
      </c>
      <c r="F46">
        <v>64</v>
      </c>
      <c r="H46">
        <v>341</v>
      </c>
      <c r="I46">
        <v>169</v>
      </c>
      <c r="J46">
        <v>176</v>
      </c>
      <c r="K46">
        <v>108</v>
      </c>
      <c r="L46">
        <v>794</v>
      </c>
      <c r="M46" s="25">
        <v>1.93</v>
      </c>
    </row>
    <row r="47" spans="1:13">
      <c r="M47" s="25"/>
    </row>
    <row r="48" spans="1:13">
      <c r="M48" s="25"/>
    </row>
    <row r="49" spans="1:13">
      <c r="A49" s="23" t="s">
        <v>129</v>
      </c>
      <c r="M49" s="25"/>
    </row>
    <row r="50" spans="1:13">
      <c r="A50" t="s">
        <v>79</v>
      </c>
      <c r="B50">
        <v>87</v>
      </c>
      <c r="C50">
        <v>0.32300000000000001</v>
      </c>
      <c r="D50">
        <v>1.24</v>
      </c>
      <c r="E50">
        <v>0.90149999999999997</v>
      </c>
      <c r="F50">
        <v>86</v>
      </c>
      <c r="H50">
        <v>255</v>
      </c>
      <c r="I50">
        <v>198</v>
      </c>
      <c r="J50">
        <v>65</v>
      </c>
      <c r="K50">
        <v>10</v>
      </c>
      <c r="L50">
        <v>528</v>
      </c>
      <c r="M50" s="25">
        <v>2.3199999999999998</v>
      </c>
    </row>
    <row r="51" spans="1:13">
      <c r="A51" t="s">
        <v>23</v>
      </c>
      <c r="B51">
        <v>77</v>
      </c>
      <c r="C51">
        <v>0.15728</v>
      </c>
      <c r="D51">
        <v>0.9</v>
      </c>
      <c r="E51">
        <v>0.4345</v>
      </c>
      <c r="F51">
        <v>60</v>
      </c>
      <c r="H51">
        <v>23</v>
      </c>
      <c r="I51">
        <v>395</v>
      </c>
      <c r="J51">
        <v>261</v>
      </c>
      <c r="K51">
        <v>12</v>
      </c>
      <c r="L51">
        <v>691</v>
      </c>
      <c r="M51" s="25">
        <v>1.62</v>
      </c>
    </row>
    <row r="52" spans="1:13">
      <c r="M52" s="25"/>
    </row>
    <row r="53" spans="1:13">
      <c r="M53" s="25"/>
    </row>
    <row r="54" spans="1:13">
      <c r="A54" s="23" t="s">
        <v>130</v>
      </c>
      <c r="M54" s="25"/>
    </row>
    <row r="55" spans="1:13">
      <c r="A55" t="s">
        <v>145</v>
      </c>
      <c r="B55">
        <v>170</v>
      </c>
      <c r="C55">
        <v>8.2000000000000003E-2</v>
      </c>
      <c r="D55">
        <v>0.94199999999999995</v>
      </c>
      <c r="E55">
        <v>0.33019999999999999</v>
      </c>
      <c r="F55">
        <v>98</v>
      </c>
      <c r="H55">
        <v>260</v>
      </c>
      <c r="I55">
        <v>34</v>
      </c>
      <c r="J55">
        <v>5</v>
      </c>
      <c r="L55">
        <v>299</v>
      </c>
      <c r="M55" s="25">
        <v>2.85</v>
      </c>
    </row>
    <row r="56" spans="1:13">
      <c r="A56" t="s">
        <v>146</v>
      </c>
      <c r="B56">
        <v>116.6</v>
      </c>
      <c r="C56">
        <v>0.21199999999999999</v>
      </c>
      <c r="D56">
        <v>12.16</v>
      </c>
      <c r="E56">
        <v>0.4884</v>
      </c>
      <c r="F56">
        <v>0</v>
      </c>
      <c r="H56">
        <v>0</v>
      </c>
      <c r="I56">
        <v>0</v>
      </c>
      <c r="J56">
        <v>181</v>
      </c>
      <c r="K56">
        <v>101</v>
      </c>
      <c r="L56">
        <v>282</v>
      </c>
      <c r="M56" s="25">
        <v>0.64</v>
      </c>
    </row>
    <row r="57" spans="1:13">
      <c r="A57" t="s">
        <v>147</v>
      </c>
      <c r="B57">
        <v>296</v>
      </c>
      <c r="C57">
        <v>0.17199999999999999</v>
      </c>
      <c r="D57">
        <v>1.1499999999999999</v>
      </c>
      <c r="E57">
        <v>0.41349999999999998</v>
      </c>
      <c r="F57">
        <v>83</v>
      </c>
      <c r="H57">
        <v>25</v>
      </c>
      <c r="I57">
        <v>141</v>
      </c>
      <c r="J57">
        <v>26</v>
      </c>
      <c r="K57">
        <v>8</v>
      </c>
      <c r="L57">
        <v>200</v>
      </c>
      <c r="M57" s="25">
        <v>1.91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"/>
  <sheetViews>
    <sheetView rightToLeft="1" workbookViewId="0">
      <selection activeCell="B2" sqref="B2"/>
    </sheetView>
  </sheetViews>
  <sheetFormatPr defaultRowHeight="12.75"/>
  <sheetData>
    <row r="1" spans="2:2">
      <c r="B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kriging</vt:lpstr>
      <vt:lpstr>patren</vt:lpstr>
    </vt:vector>
  </TitlesOfParts>
  <Company>Faculty of Agriculture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</dc:creator>
  <cp:lastModifiedBy>aro</cp:lastModifiedBy>
  <dcterms:created xsi:type="dcterms:W3CDTF">2011-11-02T08:42:33Z</dcterms:created>
  <dcterms:modified xsi:type="dcterms:W3CDTF">2012-03-18T08:07:13Z</dcterms:modified>
</cp:coreProperties>
</file>